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6B5EB8A2D3E373/Documents/"/>
    </mc:Choice>
  </mc:AlternateContent>
  <xr:revisionPtr revIDLastSave="0" documentId="8_{9AB8B381-D5B5-7044-9C21-254B6F179EBA}" xr6:coauthVersionLast="47" xr6:coauthVersionMax="47" xr10:uidLastSave="{00000000-0000-0000-0000-000000000000}"/>
  <bookViews>
    <workbookView xWindow="-108" yWindow="-108" windowWidth="23256" windowHeight="13896" firstSheet="3" activeTab="4" xr2:uid="{00000000-000D-0000-FFFF-FFFF00000000}"/>
  </bookViews>
  <sheets>
    <sheet name="Revenue Analysis" sheetId="4" r:id="rId1"/>
    <sheet name="Product Analysis" sheetId="3" r:id="rId2"/>
    <sheet name="Payment Method Analysis" sheetId="6" r:id="rId3"/>
    <sheet name="Order Status Analysis" sheetId="7" r:id="rId4"/>
    <sheet name="Referral Source Analysis" sheetId="8" r:id="rId5"/>
    <sheet name="Sheet1" sheetId="1" r:id="rId6"/>
    <sheet name="EDA Analysis" sheetId="2" r:id="rId7"/>
  </sheets>
  <calcPr calcId="191028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D2" i="2"/>
  <c r="C2" i="2"/>
  <c r="C6" i="2"/>
  <c r="C5" i="2"/>
  <c r="C4" i="2"/>
  <c r="C3" i="2"/>
  <c r="B3" i="2"/>
  <c r="B6" i="2"/>
  <c r="B5" i="2"/>
  <c r="B4" i="2"/>
  <c r="B2" i="2"/>
</calcChain>
</file>

<file path=xl/sharedStrings.xml><?xml version="1.0" encoding="utf-8"?>
<sst xmlns="http://schemas.openxmlformats.org/spreadsheetml/2006/main" count="10563" uniqueCount="4299">
  <si>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</si>
  <si>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</si>
  <si>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</si>
  <si>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</si>
  <si>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</si>
  <si>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</si>
  <si>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</si>
  <si>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</si>
  <si>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</si>
  <si>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</si>
  <si>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</si>
  <si>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</si>
  <si>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</si>
  <si>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</si>
  <si>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</si>
  <si>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</si>
  <si>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</si>
  <si>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</si>
  <si>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</si>
  <si>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</si>
  <si>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</si>
  <si>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</si>
  <si>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</si>
  <si>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</si>
  <si>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</si>
  <si>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</si>
  <si>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</si>
  <si>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</si>
  <si>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</si>
  <si>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</si>
  <si>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</si>
  <si>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</si>
  <si>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</si>
  <si>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</si>
  <si>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</si>
  <si>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</si>
  <si>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</si>
  <si>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</si>
  <si>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</si>
  <si>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</si>
  <si>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</si>
  <si>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</si>
  <si>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</si>
  <si>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</si>
  <si>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</si>
  <si>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</si>
  <si>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</si>
  <si>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</si>
  <si>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</si>
  <si>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</si>
  <si>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</si>
  <si>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</si>
  <si>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</si>
  <si>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</si>
  <si>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</si>
  <si>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</si>
  <si>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</si>
  <si>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</si>
  <si>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</si>
  <si>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</si>
  <si>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</si>
  <si>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</si>
  <si>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</si>
  <si>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</si>
  <si>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</si>
  <si>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</si>
  <si>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</si>
  <si>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</si>
  <si>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</si>
  <si>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</si>
  <si>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</si>
  <si>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</si>
  <si>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</si>
  <si>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</si>
  <si>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</si>
  <si>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</si>
  <si>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</si>
  <si>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</si>
  <si>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</si>
  <si>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</si>
  <si>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</si>
  <si>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</si>
  <si>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</si>
  <si>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</si>
  <si>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</si>
  <si>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</si>
  <si>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</si>
  <si>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</si>
  <si>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</si>
  <si>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</si>
  <si>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</si>
  <si>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</si>
  <si>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</si>
  <si>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</si>
  <si>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</si>
  <si>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</si>
  <si>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</si>
  <si>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</si>
  <si>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</si>
  <si>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</si>
  <si>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</si>
  <si>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</si>
  <si>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</si>
  <si>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</si>
  <si>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</si>
  <si>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</si>
  <si>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</si>
  <si>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</si>
  <si>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</si>
  <si>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</si>
  <si>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</si>
  <si>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</si>
  <si>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</si>
  <si>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</si>
  <si>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</si>
  <si>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</si>
  <si>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</si>
  <si>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</si>
  <si>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</si>
  <si>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</si>
  <si>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</si>
  <si>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</si>
  <si>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</si>
  <si>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</si>
  <si>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</si>
  <si>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</si>
  <si>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</si>
  <si>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</si>
  <si>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</si>
  <si>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</si>
  <si>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</si>
  <si>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</si>
  <si>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</si>
  <si>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</si>
  <si>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</si>
  <si>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</si>
  <si>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</si>
  <si>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</si>
  <si>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</si>
  <si>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</si>
  <si>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</si>
  <si>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</si>
  <si>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</si>
  <si>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</si>
  <si>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</si>
  <si>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</si>
  <si>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</si>
  <si>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</si>
  <si>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</si>
  <si>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</si>
  <si>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</si>
  <si>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</si>
  <si>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</si>
  <si>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</si>
  <si>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</si>
  <si>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</si>
  <si>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</si>
  <si>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</si>
  <si>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</si>
  <si>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</si>
  <si>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</si>
  <si>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</si>
  <si>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</si>
  <si>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</si>
  <si>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</si>
  <si>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</si>
  <si>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</si>
  <si>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</si>
  <si>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</si>
  <si>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</si>
  <si>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</si>
  <si>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</si>
  <si>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</si>
  <si>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</si>
  <si>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</si>
  <si>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</si>
  <si>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</si>
  <si>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</si>
  <si>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</si>
  <si>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</si>
  <si>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</si>
  <si>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</si>
  <si>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</si>
  <si>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</si>
  <si>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</si>
  <si>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</si>
  <si>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</si>
  <si>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</si>
  <si>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</si>
  <si>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</si>
  <si>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</si>
  <si>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</si>
  <si>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</si>
  <si>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</si>
  <si>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</si>
  <si>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</si>
  <si>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</si>
  <si>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</si>
  <si>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</si>
  <si>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</si>
  <si>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</si>
  <si>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</si>
  <si>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</si>
  <si>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</si>
  <si>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</si>
  <si>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</si>
  <si>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</si>
  <si>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</si>
  <si>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</si>
  <si>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</si>
  <si>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</si>
  <si>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</si>
  <si>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</si>
  <si>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</si>
  <si>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</si>
  <si>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</si>
  <si>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</si>
  <si>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</si>
  <si>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</si>
  <si>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</si>
  <si>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</si>
  <si>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</si>
  <si>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</si>
  <si>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</si>
  <si>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</si>
  <si>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</si>
  <si>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</si>
  <si>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</si>
  <si>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</si>
  <si>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</si>
  <si>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</si>
  <si>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</si>
  <si>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</si>
  <si>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</si>
  <si>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</si>
  <si>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</si>
  <si>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</si>
  <si>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</si>
  <si>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</si>
  <si>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</si>
  <si>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</si>
  <si>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</si>
  <si>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</si>
  <si>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</si>
  <si>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</si>
  <si>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</si>
  <si>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</si>
  <si>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</si>
  <si>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</si>
  <si>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</si>
  <si>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</si>
  <si>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</si>
  <si>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</si>
  <si>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</si>
  <si>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</si>
  <si>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</si>
  <si>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</si>
  <si>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</si>
  <si>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</si>
  <si>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</si>
  <si>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</si>
  <si>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</si>
  <si>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</si>
  <si>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</si>
  <si>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</si>
  <si>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</si>
  <si>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</si>
  <si>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</si>
  <si>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</si>
  <si>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</si>
  <si>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</si>
  <si>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</si>
  <si>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</si>
  <si>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</si>
  <si>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</si>
  <si>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</si>
  <si>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</si>
  <si>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</si>
  <si>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</si>
  <si>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</si>
  <si>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</si>
  <si>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</si>
  <si>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</si>
  <si>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</si>
  <si>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</si>
  <si>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</si>
  <si>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</si>
  <si>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</si>
  <si>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</si>
  <si>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</si>
  <si>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</si>
  <si>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</si>
  <si>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</si>
  <si>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</si>
  <si>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</si>
  <si>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</si>
  <si>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</si>
  <si>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</si>
  <si>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</si>
  <si>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</si>
  <si>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</si>
  <si>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</si>
  <si>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</si>
  <si>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</si>
  <si>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</si>
  <si>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</si>
  <si>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</si>
  <si>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</si>
  <si>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</si>
  <si>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</si>
  <si>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</si>
  <si>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</si>
  <si>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</si>
  <si>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</si>
  <si>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</si>
  <si>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</si>
  <si>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</si>
  <si>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</si>
  <si>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</si>
  <si>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</si>
  <si>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</si>
  <si>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</si>
  <si>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</si>
  <si>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</si>
  <si>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</si>
  <si>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</si>
  <si>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</si>
  <si>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</si>
  <si>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</si>
  <si>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</si>
  <si>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</si>
  <si>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</si>
  <si>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</si>
  <si>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</si>
  <si>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</si>
  <si>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</si>
  <si>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</si>
  <si>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</si>
  <si>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</si>
  <si>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</si>
  <si>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</si>
  <si>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</si>
  <si>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</si>
  <si>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</si>
  <si>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</si>
  <si>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</si>
  <si>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</si>
  <si>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</si>
  <si>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</si>
  <si>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</si>
  <si>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</si>
  <si>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</si>
  <si>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</si>
  <si>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</si>
  <si>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</si>
  <si>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</si>
  <si>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</si>
  <si>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</si>
  <si>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</si>
  <si>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</si>
  <si>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</si>
  <si>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</si>
  <si>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</si>
  <si>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</si>
  <si>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</si>
  <si>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</si>
  <si>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</si>
  <si>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</si>
  <si>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</si>
  <si>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</si>
  <si>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</si>
  <si>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</si>
  <si>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</si>
  <si>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</si>
  <si>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</si>
  <si>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</si>
  <si>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</si>
  <si>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</si>
  <si>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</si>
  <si>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</si>
  <si>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</si>
  <si>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</si>
  <si>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</si>
  <si>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</si>
  <si>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</si>
  <si>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</si>
  <si>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</si>
  <si>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</si>
  <si>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</si>
  <si>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</si>
  <si>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</si>
  <si>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</si>
  <si>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</si>
  <si>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</si>
  <si>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</si>
  <si>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</si>
  <si>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</si>
  <si>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</si>
  <si>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</si>
  <si>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</si>
  <si>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</si>
  <si>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</si>
  <si>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</si>
  <si>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</si>
  <si>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</si>
  <si>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</si>
  <si>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</si>
  <si>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</si>
  <si>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</si>
  <si>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</si>
  <si>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</si>
  <si>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</si>
  <si>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</si>
  <si>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</si>
  <si>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</si>
  <si>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</si>
  <si>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</si>
  <si>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</si>
  <si>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</si>
  <si>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</si>
  <si>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</si>
  <si>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</si>
  <si>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</si>
  <si>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</si>
  <si>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</si>
  <si>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</si>
  <si>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</si>
  <si>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</si>
  <si>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</si>
  <si>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</si>
  <si>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</si>
  <si>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</si>
  <si>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</si>
  <si>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</si>
  <si>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</si>
  <si>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</si>
  <si>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</si>
  <si>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</si>
  <si>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</si>
  <si>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</si>
  <si>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</si>
  <si>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</si>
  <si>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</si>
  <si>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</si>
  <si>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</si>
  <si>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</si>
  <si>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</si>
  <si>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</si>
  <si>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</si>
  <si>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</si>
  <si>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</si>
  <si>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</si>
  <si>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</si>
  <si>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</si>
  <si>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</si>
  <si>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</si>
  <si>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</si>
  <si>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</si>
  <si>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</si>
  <si>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</si>
  <si>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</si>
  <si>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</si>
  <si>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</si>
  <si>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</si>
  <si>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</si>
  <si>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</si>
  <si>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</si>
  <si>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</si>
  <si>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</si>
  <si>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</si>
  <si>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</si>
  <si>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</si>
  <si>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</si>
  <si>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</si>
  <si>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</si>
  <si>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</si>
  <si>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</si>
  <si>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</si>
  <si>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</si>
  <si>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</si>
  <si>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</si>
  <si>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</si>
  <si>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</si>
  <si>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</si>
  <si>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</si>
  <si>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</si>
  <si>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</si>
  <si>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</si>
  <si>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</si>
  <si>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</si>
  <si>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</si>
  <si>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</si>
  <si>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</si>
  <si>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</si>
  <si>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</si>
  <si>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</si>
  <si>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</si>
  <si>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</si>
  <si>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</si>
  <si>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</si>
  <si>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</si>
  <si>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</si>
  <si>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</si>
  <si>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</si>
  <si>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</si>
  <si>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</si>
  <si>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</si>
  <si>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</si>
  <si>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</si>
  <si>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</si>
  <si>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</si>
  <si>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</si>
  <si>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</si>
  <si>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</si>
  <si>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</si>
  <si>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</si>
  <si>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</si>
  <si>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</si>
  <si>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</si>
  <si>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</si>
  <si>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</si>
  <si>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</si>
  <si>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</si>
  <si>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</si>
  <si>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</si>
  <si>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</si>
  <si>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</si>
  <si>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</si>
  <si>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</si>
  <si>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</si>
  <si>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</si>
  <si>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</si>
  <si>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</si>
  <si>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</si>
  <si>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</si>
  <si>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</si>
  <si>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</si>
  <si>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</si>
  <si>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</si>
  <si>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</si>
  <si>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</si>
  <si>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</si>
  <si>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</si>
  <si>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</si>
  <si>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</si>
  <si>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</si>
  <si>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</si>
  <si>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</si>
  <si>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</si>
  <si>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</si>
  <si>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</si>
  <si>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</si>
  <si>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</si>
  <si>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</si>
  <si>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</si>
  <si>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</si>
  <si>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</si>
  <si>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</si>
  <si>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</si>
  <si>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</si>
  <si>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</si>
  <si>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</si>
  <si>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</si>
  <si>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</si>
  <si>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</si>
  <si>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</si>
  <si>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</si>
  <si>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</si>
  <si>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</si>
  <si>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</si>
  <si>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</si>
  <si>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</si>
  <si>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</si>
  <si>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</si>
  <si>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</si>
  <si>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</si>
  <si>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</si>
  <si>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</si>
  <si>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</si>
  <si>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</si>
  <si>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</si>
  <si>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</si>
  <si>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</si>
  <si>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</si>
  <si>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</si>
  <si>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</si>
  <si>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</si>
  <si>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</si>
  <si>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</si>
  <si>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</si>
  <si>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</si>
  <si>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</si>
  <si>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</si>
  <si>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</si>
  <si>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</si>
  <si>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</si>
  <si>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</si>
  <si>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</si>
  <si>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</si>
  <si>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</si>
  <si>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</si>
  <si>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</si>
  <si>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</si>
  <si>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</si>
  <si>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</si>
  <si>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</si>
  <si>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</si>
  <si>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</si>
  <si>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</si>
  <si>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</si>
  <si>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</si>
  <si>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</si>
  <si>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</si>
  <si>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</si>
  <si>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</si>
  <si>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</si>
  <si>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</si>
  <si>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</si>
  <si>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</si>
  <si>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</si>
  <si>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</si>
  <si>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</si>
  <si>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</si>
  <si>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</si>
  <si>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</si>
  <si>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</si>
  <si>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</si>
  <si>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</si>
  <si>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</si>
  <si>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</si>
  <si>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</si>
  <si>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</si>
  <si>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</si>
  <si>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</si>
  <si>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</si>
  <si>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</si>
  <si>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</si>
  <si>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</si>
  <si>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</si>
  <si>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</si>
  <si>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</si>
  <si>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</si>
  <si>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</si>
  <si>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</si>
  <si>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</si>
  <si>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</si>
  <si>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</si>
  <si>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</si>
  <si>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</si>
  <si>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</si>
  <si>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</si>
  <si>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</si>
  <si>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</si>
  <si>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</si>
  <si>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</si>
  <si>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</si>
  <si>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</si>
  <si>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</si>
  <si>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</si>
  <si>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</si>
  <si>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</si>
  <si>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</si>
  <si>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</si>
  <si>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</si>
  <si>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</si>
  <si>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</si>
  <si>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</si>
  <si>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</si>
  <si>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</si>
  <si>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</si>
  <si>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</si>
  <si>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</si>
  <si>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</si>
  <si>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</si>
  <si>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</si>
  <si>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</si>
  <si>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</si>
  <si>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</si>
  <si>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</si>
  <si>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</si>
  <si>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</si>
  <si>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</si>
  <si>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</si>
  <si>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</si>
  <si>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</si>
  <si>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</si>
  <si>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</si>
  <si>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</si>
  <si>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</si>
  <si>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</si>
  <si>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</si>
  <si>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</si>
  <si>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</si>
  <si>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</si>
  <si>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</si>
  <si>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</si>
  <si>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</si>
  <si>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</si>
  <si>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</si>
  <si>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</si>
  <si>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</si>
  <si>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</si>
  <si>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</si>
  <si>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</si>
  <si>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</si>
  <si>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</si>
  <si>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</si>
  <si>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</si>
  <si>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</si>
  <si>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</si>
  <si>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</si>
  <si>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</si>
  <si>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</si>
  <si>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</si>
  <si>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</si>
  <si>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</si>
  <si>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</si>
  <si>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</si>
  <si>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</si>
  <si>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</si>
  <si>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</si>
  <si>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</si>
  <si>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</si>
  <si>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</si>
  <si>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</si>
  <si>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</si>
  <si>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</si>
  <si>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</si>
  <si>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</si>
  <si>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</si>
  <si>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</si>
  <si>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</si>
  <si>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</si>
  <si>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</si>
  <si>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</si>
  <si>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</si>
  <si>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</si>
  <si>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</si>
  <si>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</si>
  <si>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</si>
  <si>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</si>
  <si>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</si>
  <si>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</si>
  <si>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</si>
  <si>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</si>
  <si>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</si>
  <si>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</si>
  <si>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</si>
  <si>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</si>
  <si>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</si>
  <si>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</si>
  <si>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</si>
  <si>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</si>
  <si>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</si>
  <si>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</si>
  <si>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</si>
  <si>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</si>
  <si>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</si>
  <si>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</si>
  <si>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</si>
  <si>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</si>
  <si>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</si>
  <si>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</si>
  <si>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</si>
  <si>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</si>
  <si>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</si>
  <si>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</si>
  <si>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</si>
  <si>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</si>
  <si>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</si>
  <si>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</si>
  <si>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</si>
  <si>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</si>
  <si>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</si>
  <si>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</si>
  <si>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</si>
  <si>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</si>
  <si>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</si>
  <si>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</si>
  <si>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</si>
  <si>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</si>
  <si>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</si>
  <si>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</si>
  <si>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</si>
  <si>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</si>
  <si>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</si>
  <si>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</si>
  <si>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</si>
  <si>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</si>
  <si>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</si>
  <si>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</si>
  <si>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</si>
  <si>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</si>
  <si>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</si>
  <si>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</si>
  <si>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</si>
  <si>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</si>
  <si>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</si>
  <si>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</si>
  <si>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</si>
  <si>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</si>
  <si>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</si>
  <si>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</si>
  <si>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</si>
  <si>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</si>
  <si>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</si>
  <si>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</si>
  <si>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</si>
  <si>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</si>
  <si>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</si>
  <si>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</si>
  <si>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</si>
  <si>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</si>
  <si>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</si>
  <si>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</si>
  <si>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</si>
  <si>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</si>
  <si>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</si>
  <si>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</si>
  <si>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</si>
  <si>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</si>
  <si>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</si>
  <si>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</si>
  <si>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</si>
  <si>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</si>
  <si>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</si>
  <si>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</si>
  <si>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</si>
  <si>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</si>
  <si>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</si>
  <si>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</si>
  <si>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</si>
  <si>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</si>
  <si>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</si>
  <si>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</si>
  <si>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</si>
  <si>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</si>
  <si>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</si>
  <si>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</si>
  <si>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</si>
  <si>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</si>
  <si>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</si>
  <si>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</si>
  <si>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</si>
  <si>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</si>
  <si>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</si>
  <si>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</si>
  <si>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</si>
  <si>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</si>
  <si>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</si>
  <si>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</si>
  <si>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</si>
  <si>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</si>
  <si>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</si>
  <si>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</si>
  <si>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</si>
  <si>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</si>
  <si>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</si>
  <si>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</si>
  <si>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</si>
  <si>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</si>
  <si>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</si>
  <si>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</si>
  <si>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</si>
  <si>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</si>
  <si>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</si>
  <si>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</si>
  <si>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</si>
  <si>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</si>
  <si>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</si>
  <si>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</si>
  <si>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</si>
  <si>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</si>
  <si>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</si>
  <si>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</si>
  <si>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</si>
  <si>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</si>
  <si>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</si>
  <si>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</si>
  <si>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</si>
  <si>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</si>
  <si>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</si>
  <si>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</si>
  <si>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</si>
  <si>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</si>
  <si>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</si>
  <si>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</si>
  <si>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</si>
  <si>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</si>
  <si>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</si>
  <si>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</si>
  <si>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</si>
  <si>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</si>
  <si>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</si>
  <si>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</si>
  <si>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</si>
  <si>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</si>
  <si>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</si>
  <si>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</si>
  <si>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</si>
  <si>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</si>
  <si>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</si>
  <si>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</si>
  <si>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</si>
  <si>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</si>
  <si>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</si>
  <si>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</si>
  <si>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</si>
  <si>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</si>
  <si>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</si>
  <si>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</si>
  <si>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</si>
  <si>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</si>
  <si>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</si>
  <si>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</si>
  <si>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</si>
  <si>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</si>
  <si>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</si>
  <si>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</si>
  <si>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</si>
  <si>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</si>
  <si>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</si>
  <si>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</si>
  <si>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</si>
  <si>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</si>
  <si>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</si>
  <si>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</si>
  <si>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</si>
  <si>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</si>
  <si>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</si>
  <si>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</si>
  <si>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</si>
  <si>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</si>
  <si>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</si>
  <si>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</si>
  <si>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</si>
  <si>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</si>
  <si>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</si>
  <si>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</si>
  <si>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</si>
  <si>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</si>
  <si>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</si>
  <si>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</si>
  <si>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</si>
  <si>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</si>
  <si>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</si>
  <si>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</si>
  <si>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</si>
  <si>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</si>
  <si>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</si>
  <si>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</si>
  <si>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</si>
  <si>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</si>
  <si>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</si>
  <si>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</si>
  <si>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</si>
  <si>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</si>
  <si>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</si>
  <si>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</si>
  <si>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</si>
  <si>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</si>
  <si>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</si>
  <si>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</si>
  <si>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</si>
  <si>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</si>
  <si>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</si>
  <si>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</si>
  <si>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</si>
  <si>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</si>
  <si>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</si>
  <si>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</si>
  <si>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</si>
  <si>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</si>
  <si>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</si>
  <si>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</si>
  <si>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</si>
  <si>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</si>
  <si>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</si>
  <si>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</si>
  <si>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</si>
  <si>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</si>
  <si>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</si>
  <si>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</si>
  <si>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</si>
  <si>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</si>
  <si>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</si>
  <si>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</si>
  <si>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</si>
  <si>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</si>
  <si>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</si>
  <si>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</si>
  <si>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</si>
  <si>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</si>
  <si>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</si>
  <si>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</si>
  <si>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</si>
  <si>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</si>
  <si>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</si>
  <si>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</si>
  <si>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</si>
  <si>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</si>
  <si>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</si>
  <si>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</si>
  <si>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</si>
  <si>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</si>
  <si>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</si>
  <si>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</si>
  <si>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</si>
  <si>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</si>
  <si>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</si>
  <si>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</si>
  <si>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</si>
  <si>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</si>
  <si>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</si>
  <si>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</si>
  <si>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</si>
  <si>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</si>
  <si>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</si>
  <si>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</si>
  <si>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</si>
  <si>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</si>
  <si>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</si>
  <si>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</si>
  <si>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</si>
  <si>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</si>
  <si>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</si>
  <si>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</si>
  <si>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</si>
  <si>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</si>
  <si>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</si>
  <si>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</si>
  <si>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</si>
  <si>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</si>
  <si>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</si>
  <si>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</si>
  <si>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</si>
  <si>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</si>
  <si>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</si>
  <si>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</si>
  <si>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</si>
  <si>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</si>
  <si>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</si>
  <si>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</si>
  <si>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</si>
  <si>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</si>
  <si>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</si>
  <si>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</si>
  <si>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</si>
  <si>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</si>
  <si>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</si>
  <si>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</si>
  <si>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</si>
  <si>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</si>
  <si>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</si>
  <si>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</si>
  <si>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</si>
  <si>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</si>
  <si>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</si>
  <si>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</si>
  <si>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</si>
  <si>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</si>
  <si>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</si>
  <si>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</si>
  <si>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</si>
  <si>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</si>
  <si>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</si>
  <si>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</si>
  <si>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</si>
  <si>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</si>
  <si>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</si>
  <si>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</si>
  <si>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</si>
  <si>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</si>
  <si>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</si>
  <si>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</si>
  <si>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</si>
  <si>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</si>
  <si>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</si>
  <si>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</si>
  <si>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</si>
  <si>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</si>
  <si>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</si>
  <si>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</si>
  <si>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</si>
  <si>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</si>
  <si>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</si>
  <si>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</si>
  <si>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</si>
  <si>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</si>
  <si>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</si>
  <si>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</si>
  <si>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</si>
  <si>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</si>
  <si>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</si>
  <si>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</si>
  <si>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</si>
  <si>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</si>
  <si>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</si>
  <si>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</si>
  <si>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</si>
  <si>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</si>
  <si>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</si>
  <si>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</si>
  <si>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</si>
  <si>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</si>
  <si>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</si>
  <si>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</si>
  <si>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</si>
  <si>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</si>
  <si>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</si>
  <si>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</si>
  <si>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</si>
  <si>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</si>
  <si>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</si>
  <si>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</si>
  <si>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</si>
  <si>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</si>
  <si>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</si>
  <si>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</si>
  <si>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</si>
  <si>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</si>
  <si>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</si>
  <si>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</si>
  <si>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</si>
  <si>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</si>
  <si>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</si>
  <si>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</si>
  <si>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</si>
  <si>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</si>
  <si>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</si>
  <si>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</si>
  <si>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</si>
  <si>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</si>
  <si>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</si>
  <si>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</si>
  <si>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</si>
  <si>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</si>
  <si>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</si>
  <si>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</si>
  <si>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</si>
  <si>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</si>
  <si>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</si>
  <si>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</si>
  <si>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</si>
  <si>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</si>
  <si>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</si>
  <si>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</si>
  <si>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</si>
  <si>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</si>
  <si>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</si>
  <si>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</si>
  <si>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</si>
  <si>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</si>
  <si>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</si>
  <si>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</si>
  <si>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</si>
  <si>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</si>
  <si>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</si>
  <si>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</si>
  <si>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</si>
  <si>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</si>
  <si>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</si>
  <si>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</si>
  <si>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</si>
  <si>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</si>
  <si>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</si>
  <si>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</si>
  <si>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</si>
  <si>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</si>
  <si>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</si>
  <si>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</si>
  <si>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</si>
  <si>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</si>
  <si>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</si>
  <si>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</si>
  <si>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</si>
  <si>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</si>
  <si>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</si>
  <si>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</si>
  <si>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</si>
  <si>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</si>
  <si>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</si>
  <si>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</si>
  <si>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</si>
  <si>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</si>
  <si>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</si>
  <si>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</si>
  <si>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</si>
  <si>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</si>
  <si>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</si>
  <si>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</si>
  <si>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</si>
  <si>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</si>
  <si>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</si>
  <si>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</si>
  <si>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</si>
  <si>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</si>
  <si>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</si>
  <si>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</si>
  <si>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</si>
  <si>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</si>
  <si>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</si>
  <si>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</si>
  <si>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</si>
  <si>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</si>
  <si>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</si>
  <si>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</si>
  <si>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</si>
  <si>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</si>
  <si>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</si>
  <si>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</si>
  <si>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</si>
  <si>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</si>
  <si>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</si>
  <si>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</si>
  <si>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</si>
  <si>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</si>
  <si>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</si>
  <si>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</si>
  <si>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</si>
  <si>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</si>
  <si>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</si>
  <si>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</si>
  <si>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</si>
  <si>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</si>
  <si>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</si>
  <si>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</si>
  <si>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</si>
  <si>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</si>
  <si>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</si>
  <si>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</si>
  <si>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</si>
  <si>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</si>
  <si>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</si>
  <si>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</si>
  <si>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</si>
  <si>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</si>
  <si>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</si>
  <si>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</si>
  <si>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</si>
  <si>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</si>
  <si>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</si>
  <si>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</si>
  <si>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</si>
  <si>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</si>
  <si>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</si>
  <si>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</si>
  <si>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</si>
  <si>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</si>
  <si>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</si>
  <si>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</si>
  <si>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</si>
  <si>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</si>
  <si>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</si>
  <si>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</si>
  <si>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</si>
  <si>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</si>
  <si>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</si>
  <si>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</si>
  <si>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</si>
  <si>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</si>
  <si>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</si>
  <si>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</si>
  <si>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</si>
  <si>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</si>
  <si>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</si>
  <si>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</si>
  <si>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</si>
  <si>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</si>
  <si>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</si>
  <si>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</si>
  <si>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</si>
  <si>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</si>
  <si>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</si>
  <si>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</si>
  <si>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</si>
  <si>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</si>
  <si>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</si>
  <si>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</si>
  <si>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</si>
  <si>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</si>
  <si>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</si>
  <si>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</si>
  <si>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</si>
  <si>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</si>
  <si>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</si>
  <si>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</si>
  <si>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</si>
  <si>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</si>
  <si>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</si>
  <si>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</si>
  <si>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</si>
  <si>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</si>
  <si>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</si>
  <si>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</si>
  <si>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</si>
  <si>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</si>
  <si>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</si>
  <si>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</si>
  <si>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</si>
  <si>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</si>
  <si>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</si>
  <si>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</si>
  <si>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</si>
  <si>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</si>
  <si>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</si>
  <si>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</si>
  <si>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</si>
  <si>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</si>
  <si>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</si>
  <si>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</si>
  <si>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</si>
  <si>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</si>
  <si>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</si>
  <si>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</si>
  <si>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</si>
  <si>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</si>
  <si>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</si>
  <si>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</si>
  <si>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</si>
  <si>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</si>
  <si>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</si>
  <si>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</si>
  <si>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</si>
  <si>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</si>
  <si>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</si>
  <si>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</si>
  <si>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</si>
  <si>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</si>
  <si>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</si>
  <si>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</si>
  <si>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</si>
  <si>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</si>
  <si>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</si>
  <si>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</si>
  <si>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</si>
  <si>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</si>
  <si>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</si>
  <si>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</si>
  <si>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</si>
  <si>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</si>
  <si>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</si>
  <si>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</si>
  <si>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</si>
  <si>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</si>
  <si>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</si>
  <si>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</si>
  <si>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</si>
  <si>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</si>
  <si>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</si>
  <si>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</si>
  <si>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</si>
  <si>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</si>
  <si>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</si>
  <si>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</si>
  <si>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</si>
  <si>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</si>
  <si>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</si>
  <si>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</si>
  <si>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</si>
  <si>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</si>
  <si>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</si>
  <si>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</si>
  <si>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</si>
  <si>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</si>
  <si>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</si>
  <si>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</si>
  <si>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</si>
  <si>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</si>
  <si>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</si>
  <si>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</si>
  <si>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</si>
  <si>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</si>
  <si>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</si>
  <si>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</si>
  <si>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</si>
  <si>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</si>
  <si>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</si>
  <si>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</si>
  <si>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</si>
  <si>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</si>
  <si>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</si>
  <si>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</si>
  <si>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</si>
  <si>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</si>
  <si>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</si>
  <si>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</si>
  <si>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</si>
  <si>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</si>
  <si>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</si>
  <si>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</si>
  <si>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</si>
  <si>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</si>
  <si>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</si>
  <si>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</si>
  <si>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</si>
  <si>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</si>
  <si>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</si>
  <si>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</si>
  <si>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</si>
  <si>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</si>
  <si>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</si>
  <si>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</si>
  <si>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</si>
  <si>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</si>
  <si>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</si>
  <si>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</si>
  <si>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</si>
  <si>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</si>
  <si>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</si>
  <si>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</si>
  <si>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</si>
  <si>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</si>
  <si>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</si>
  <si>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</si>
  <si>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</si>
  <si>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</si>
  <si>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</si>
  <si>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</si>
  <si>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</si>
  <si>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</si>
  <si>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</si>
  <si>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</si>
  <si>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</si>
  <si>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</si>
  <si>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</si>
  <si>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</si>
  <si>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</si>
  <si>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</si>
  <si>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</si>
  <si>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</si>
  <si>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</si>
  <si>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</si>
  <si>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</si>
  <si>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</si>
  <si>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</si>
  <si>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</si>
  <si>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</si>
  <si>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</si>
  <si>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</si>
  <si>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</si>
  <si>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</si>
  <si>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</si>
  <si>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</si>
  <si>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</si>
  <si>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</si>
  <si>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</si>
  <si>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</si>
  <si>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</si>
  <si>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</si>
  <si>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</si>
  <si>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</si>
  <si>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</si>
  <si>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</si>
  <si>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</si>
  <si>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</si>
  <si>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</si>
  <si>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</si>
  <si>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</si>
  <si>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</si>
  <si>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</si>
  <si>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</si>
  <si>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</si>
  <si>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</si>
  <si>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</si>
  <si>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</si>
  <si>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</si>
  <si>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</si>
  <si>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</si>
  <si>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</si>
  <si>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</si>
  <si>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</si>
  <si>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</si>
  <si>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</si>
  <si>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</si>
  <si>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</si>
  <si>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</si>
  <si>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</si>
  <si>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</si>
  <si>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</si>
  <si>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</si>
  <si>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</si>
  <si>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</si>
  <si>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</si>
  <si>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</si>
  <si>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</si>
  <si>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</si>
  <si>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</si>
  <si>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</si>
  <si>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</si>
  <si>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</si>
  <si>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</si>
  <si>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</si>
  <si>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</si>
  <si>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</si>
  <si>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</si>
  <si>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</si>
  <si>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</si>
  <si>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</si>
  <si>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</si>
  <si>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</si>
  <si>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</si>
  <si>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</si>
  <si>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</si>
  <si>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</si>
  <si>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</si>
  <si>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</si>
  <si>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</si>
  <si>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</si>
  <si>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</si>
  <si>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</si>
  <si>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</si>
  <si>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</si>
  <si>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</si>
  <si>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</si>
  <si>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</si>
  <si>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</si>
  <si>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</si>
  <si>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</si>
  <si>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</si>
  <si>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</si>
  <si>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</si>
  <si>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</si>
  <si>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</si>
  <si>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</si>
  <si>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</si>
  <si>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</si>
  <si>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</si>
  <si>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</si>
  <si>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</si>
  <si>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</si>
  <si>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</si>
  <si>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</si>
  <si>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</si>
  <si>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</si>
  <si>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</si>
  <si>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</si>
  <si>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</si>
  <si>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</si>
  <si>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</si>
  <si>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</si>
  <si>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</si>
  <si>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</si>
  <si>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</si>
  <si>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</si>
  <si>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</si>
  <si>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</si>
  <si>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</si>
  <si>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</si>
  <si>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</si>
  <si>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</si>
  <si>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</si>
  <si>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</si>
  <si>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</si>
  <si>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</si>
  <si>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</si>
  <si>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</si>
  <si>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</si>
  <si>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</si>
  <si>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</si>
  <si>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</si>
  <si>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</si>
  <si>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</si>
  <si>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</si>
  <si>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</si>
  <si>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</si>
  <si>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</si>
  <si>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</si>
  <si>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</si>
  <si>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</si>
  <si>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</si>
  <si>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</si>
  <si>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</si>
  <si>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</si>
  <si>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</si>
  <si>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</si>
  <si>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</si>
  <si>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</si>
  <si>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</si>
  <si>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</si>
  <si>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</si>
  <si>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</si>
  <si>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</si>
  <si>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</si>
  <si>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</si>
  <si>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</si>
  <si>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</si>
  <si>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</si>
  <si>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</si>
  <si>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</si>
  <si>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</si>
  <si>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</si>
  <si>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</si>
  <si>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</si>
  <si>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</si>
  <si>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</si>
  <si>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</si>
  <si>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</si>
  <si>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</si>
  <si>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</si>
  <si>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</si>
  <si>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</si>
  <si>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</si>
  <si>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</si>
  <si>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</si>
  <si>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</si>
  <si>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</si>
  <si>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</si>
  <si>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</si>
  <si>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</si>
  <si>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</si>
  <si>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</si>
  <si>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</si>
  <si>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</si>
  <si>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</si>
  <si>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</si>
  <si>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</si>
  <si>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</si>
  <si>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</si>
  <si>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</si>
  <si>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</si>
  <si>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</si>
  <si>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</si>
  <si>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</si>
  <si>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</si>
  <si>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</si>
  <si>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</si>
  <si>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</si>
  <si>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</si>
  <si>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</si>
  <si>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</si>
  <si>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</si>
  <si>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</si>
  <si>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</si>
  <si>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</si>
  <si>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</si>
  <si>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</si>
  <si>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</si>
  <si>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</si>
  <si>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</si>
  <si>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</si>
  <si>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</si>
  <si>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</si>
  <si>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</si>
  <si>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</si>
  <si>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</si>
  <si>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</si>
  <si>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</si>
  <si>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</si>
  <si>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</si>
  <si>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</si>
  <si>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</si>
  <si>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</si>
  <si>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</si>
  <si>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</si>
  <si>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</si>
  <si>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</si>
  <si>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</si>
  <si>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</si>
  <si>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</si>
  <si>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</si>
  <si>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</si>
  <si>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</si>
  <si>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</si>
  <si>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</si>
  <si>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</si>
  <si>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</si>
  <si>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</si>
  <si>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</si>
  <si>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</si>
  <si>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</si>
  <si>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</si>
  <si>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</si>
  <si>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</si>
  <si>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</si>
  <si>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</si>
  <si>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</si>
  <si>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</si>
  <si>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</si>
  <si>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</si>
  <si>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</si>
  <si>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</si>
  <si>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</si>
  <si>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</si>
  <si>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</si>
  <si>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</si>
  <si>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</si>
  <si>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</si>
  <si>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</si>
  <si>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</si>
  <si>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</si>
  <si>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</si>
  <si>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</si>
  <si>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</si>
  <si>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</si>
  <si>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</si>
  <si>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</si>
  <si>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</si>
  <si>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</si>
  <si>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</si>
  <si>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</si>
  <si>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</si>
  <si>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</si>
  <si>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</si>
  <si>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</si>
  <si>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</si>
  <si>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</si>
  <si>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</si>
  <si>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</si>
  <si>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</si>
  <si>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</si>
  <si>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</si>
  <si>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</si>
  <si>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</si>
  <si>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</si>
  <si>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</si>
  <si>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</si>
  <si>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</si>
  <si>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</si>
  <si>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</si>
  <si>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</si>
  <si>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</si>
  <si>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</si>
  <si>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</si>
  <si>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</si>
  <si>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</si>
  <si>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</si>
  <si>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</si>
  <si>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</si>
  <si>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</si>
  <si>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</si>
  <si>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</si>
  <si>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</si>
  <si>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</si>
  <si>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</si>
  <si>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</si>
  <si>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</si>
  <si>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</si>
  <si>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</si>
  <si>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</si>
  <si>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</si>
  <si>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</si>
  <si>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</si>
  <si>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</si>
  <si>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</si>
  <si>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</si>
  <si>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</si>
  <si>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</si>
  <si>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</si>
  <si>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</si>
  <si>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</si>
  <si>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</si>
  <si>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</si>
  <si>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</si>
  <si>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</si>
  <si>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</si>
  <si>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</si>
  <si>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</si>
  <si>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</si>
  <si>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</si>
  <si>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</si>
  <si>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</si>
  <si>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</si>
  <si>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</si>
  <si>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</si>
  <si>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</si>
  <si>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</si>
  <si>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</si>
  <si>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</si>
  <si>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</si>
  <si>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</si>
  <si>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</si>
  <si>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</si>
  <si>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</si>
  <si>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</si>
  <si>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</si>
  <si>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</si>
  <si>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</si>
  <si>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</si>
  <si>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</si>
  <si>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</si>
  <si>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</si>
  <si>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</si>
  <si>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</si>
  <si>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</si>
  <si>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</si>
  <si>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</si>
  <si>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</si>
  <si>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</si>
  <si>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</si>
  <si>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</si>
  <si>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</si>
  <si>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</si>
  <si>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</si>
  <si>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</si>
  <si>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</si>
  <si>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</si>
  <si>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</si>
  <si>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</si>
  <si>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</si>
  <si>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</si>
  <si>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</si>
  <si>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</si>
  <si>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</si>
  <si>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</si>
  <si>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</si>
  <si>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</si>
  <si>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</si>
  <si>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</si>
  <si>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</si>
  <si>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</si>
  <si>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</si>
  <si>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</si>
  <si>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</si>
  <si>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</si>
  <si>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</si>
  <si>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</si>
  <si>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</si>
  <si>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</si>
  <si>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</si>
  <si>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</si>
  <si>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</si>
  <si>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</si>
  <si>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</si>
  <si>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</si>
  <si>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</si>
  <si>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</si>
  <si>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</si>
  <si>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</si>
  <si>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</si>
  <si>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</si>
  <si>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</si>
  <si>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</si>
  <si>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</si>
  <si>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</si>
  <si>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</si>
  <si>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</si>
  <si>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</si>
  <si>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</si>
  <si>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</si>
  <si>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</si>
  <si>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</si>
  <si>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</si>
  <si>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</si>
  <si>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</si>
  <si>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</si>
  <si>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</si>
  <si>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</si>
  <si>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</si>
  <si>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</si>
  <si>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</si>
  <si>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</si>
  <si>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</si>
  <si>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</si>
  <si>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</si>
  <si>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</si>
  <si>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</si>
  <si>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</si>
  <si>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</si>
  <si>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</si>
  <si>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</si>
  <si>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</si>
  <si>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</si>
  <si>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</si>
  <si>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</si>
  <si>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</si>
  <si>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</si>
  <si>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</si>
  <si>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</si>
  <si>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</si>
  <si>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</si>
  <si>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</si>
  <si>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</si>
  <si>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</si>
  <si>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</si>
  <si>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</si>
  <si>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</si>
  <si>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</si>
  <si>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</si>
  <si>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</si>
  <si>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</si>
  <si>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</si>
  <si>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</si>
  <si>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</si>
  <si>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</si>
  <si>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</si>
  <si>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</si>
  <si>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</si>
  <si>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</si>
  <si>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</si>
  <si>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</si>
  <si>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</si>
  <si>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</si>
  <si>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</si>
  <si>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</si>
  <si>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</si>
  <si>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</si>
  <si>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</si>
  <si>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</si>
  <si>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</si>
  <si>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</si>
  <si>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</si>
  <si>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</si>
  <si>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</si>
  <si>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</si>
  <si>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</si>
  <si>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</si>
  <si>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</si>
  <si>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</si>
  <si>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</si>
  <si>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</si>
  <si>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</si>
  <si>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</si>
  <si>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</si>
  <si>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</si>
  <si>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</si>
  <si>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</si>
  <si>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</si>
  <si>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</si>
  <si>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</si>
  <si>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</si>
  <si>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</si>
  <si>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</si>
  <si>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</si>
  <si>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</si>
  <si>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</si>
  <si>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</si>
  <si>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</si>
  <si>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</si>
  <si>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</si>
  <si>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</si>
  <si>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</si>
  <si>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</si>
  <si>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</si>
  <si>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</si>
  <si>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</si>
  <si>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</si>
  <si>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</si>
  <si>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</si>
  <si>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</si>
  <si>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</si>
  <si>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</si>
  <si>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</si>
  <si>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</si>
  <si>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</si>
  <si>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</si>
  <si>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</si>
  <si>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</si>
  <si>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</si>
  <si>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</si>
  <si>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</si>
  <si>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</si>
  <si>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</si>
  <si>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</si>
  <si>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</si>
  <si>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</si>
  <si>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</si>
  <si>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</si>
  <si>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</si>
  <si>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</si>
  <si>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</si>
  <si>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</si>
  <si>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</si>
  <si>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</si>
  <si>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</si>
  <si>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</si>
  <si>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</si>
  <si>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</si>
  <si>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</si>
  <si>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</si>
  <si>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</si>
  <si>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</si>
  <si>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</si>
  <si>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</si>
  <si>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</si>
  <si>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</si>
  <si>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</si>
  <si>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</si>
  <si>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</si>
  <si>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</si>
  <si>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</si>
  <si>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</si>
  <si>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</si>
  <si>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</si>
  <si>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</si>
  <si>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</si>
  <si>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</si>
  <si>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</si>
  <si>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</si>
  <si>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</si>
  <si>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</si>
  <si>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</si>
  <si>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</si>
  <si>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</si>
  <si>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</si>
  <si>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</si>
  <si>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</si>
  <si>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</si>
  <si>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</si>
  <si>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</si>
  <si>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</si>
  <si>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</si>
  <si>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</si>
  <si>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</si>
  <si>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</si>
  <si>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</si>
  <si>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</si>
  <si>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</si>
  <si>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</si>
  <si>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</si>
  <si>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</si>
  <si>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</si>
  <si>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</si>
  <si>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</si>
  <si>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</si>
  <si>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</si>
  <si>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</si>
  <si>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</si>
  <si>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</si>
  <si>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</si>
  <si>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</si>
  <si>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</si>
  <si>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</si>
  <si>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</si>
  <si>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</si>
  <si>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</si>
  <si>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</si>
  <si>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</si>
  <si>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</si>
  <si>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</si>
  <si>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</si>
  <si>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</si>
  <si>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</si>
  <si>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</si>
  <si>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</si>
  <si>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</si>
  <si>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</si>
  <si>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</si>
  <si>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</si>
  <si>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</si>
  <si>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</si>
  <si>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</si>
  <si>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</si>
  <si>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</si>
  <si>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</si>
  <si>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</si>
  <si>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</si>
  <si>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</si>
  <si>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</si>
  <si>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</si>
  <si>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</si>
  <si>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</si>
  <si>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</si>
  <si>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</si>
  <si>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</si>
  <si>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</si>
  <si>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</si>
  <si>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</si>
  <si>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</si>
  <si>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</si>
  <si>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</si>
  <si>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</si>
  <si>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</si>
  <si>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</si>
  <si>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</si>
  <si>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</si>
  <si>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</si>
  <si>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</si>
  <si>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</si>
  <si>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</si>
  <si>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</si>
  <si>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</si>
  <si>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</si>
  <si>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</si>
  <si>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</si>
  <si>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</si>
  <si>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</si>
  <si>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</si>
  <si>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</si>
  <si>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</si>
  <si>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</si>
  <si>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</si>
  <si>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</si>
  <si>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</si>
  <si>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</si>
  <si>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</si>
  <si>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</si>
  <si>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</si>
  <si>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</si>
  <si>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</si>
  <si>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</si>
  <si>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</si>
  <si>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</si>
  <si>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</si>
  <si>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</si>
  <si>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</si>
  <si>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</si>
  <si>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</si>
  <si>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</si>
  <si>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</si>
  <si>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</si>
  <si>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</si>
  <si>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</si>
  <si>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</si>
  <si>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</si>
  <si>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</si>
  <si>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</si>
  <si>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</si>
  <si>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</si>
  <si>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</si>
  <si>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</si>
  <si>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</si>
  <si>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</si>
  <si>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</si>
  <si>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</si>
  <si>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</si>
  <si>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</si>
  <si>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</si>
  <si>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</si>
  <si>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</si>
  <si>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</si>
  <si>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</si>
  <si>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</si>
  <si>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</si>
  <si>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</si>
  <si>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</si>
  <si>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</si>
  <si>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</si>
  <si>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</si>
  <si>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</si>
  <si>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</si>
  <si>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</si>
  <si>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</si>
  <si>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</si>
  <si>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</si>
  <si>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</si>
  <si>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</si>
  <si>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</si>
  <si>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</si>
  <si>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</si>
  <si>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</si>
  <si>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</si>
  <si>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</si>
  <si>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</si>
  <si>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</si>
  <si>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</si>
  <si>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</si>
  <si>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</si>
  <si>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</si>
  <si>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</si>
  <si>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</si>
  <si>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</si>
  <si>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</si>
  <si>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</si>
  <si>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</si>
  <si>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</si>
  <si>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</si>
  <si>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</si>
  <si>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</si>
  <si>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</si>
  <si>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</si>
  <si>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</si>
  <si>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</si>
  <si>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</si>
  <si>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</si>
  <si>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</si>
  <si>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</si>
  <si>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</si>
  <si>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</si>
  <si>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</si>
  <si>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</si>
  <si>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</si>
  <si>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</si>
  <si>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</si>
  <si>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</si>
  <si>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</si>
  <si>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</si>
  <si>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</si>
  <si>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</si>
  <si>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</si>
  <si>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</si>
  <si>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</si>
  <si>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</si>
  <si>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</si>
  <si>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</si>
  <si>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</si>
  <si>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</si>
  <si>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</si>
  <si>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</si>
  <si>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</si>
  <si>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</si>
  <si>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</si>
  <si>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</si>
  <si>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</si>
  <si>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</si>
  <si>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</si>
  <si>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</si>
  <si>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</si>
  <si>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</si>
  <si>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</si>
  <si>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</si>
  <si>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</si>
  <si>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</si>
  <si>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</si>
  <si>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</si>
  <si>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</si>
  <si>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</si>
  <si>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</si>
  <si>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</si>
  <si>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</si>
  <si>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</si>
  <si>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</si>
  <si>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</si>
  <si>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</si>
  <si>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</si>
  <si>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</si>
  <si>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</si>
  <si>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</si>
  <si>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</si>
  <si>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</si>
  <si>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</si>
  <si>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</si>
  <si>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</si>
  <si>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</si>
  <si>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</si>
  <si>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</si>
  <si>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</si>
  <si>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</si>
  <si>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</si>
  <si>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</si>
  <si>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</si>
  <si>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</si>
  <si>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</si>
  <si>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</si>
  <si>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</si>
  <si>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</si>
  <si>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</si>
  <si>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</si>
  <si>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</si>
  <si>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</si>
  <si>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</si>
  <si>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</si>
  <si>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</si>
  <si>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</si>
  <si>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</si>
  <si>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</si>
  <si>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</si>
  <si>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</si>
  <si>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</si>
  <si>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</si>
  <si>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</si>
  <si>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</si>
  <si>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</si>
  <si>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</si>
  <si>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</si>
  <si>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</si>
  <si>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</si>
  <si>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</si>
  <si>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</si>
  <si>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</si>
  <si>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</si>
  <si>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</si>
  <si>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</si>
  <si>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</si>
  <si>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</si>
  <si>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</si>
  <si>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</si>
  <si>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</si>
  <si>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</si>
  <si>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</si>
  <si>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</si>
  <si>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</si>
  <si>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</si>
  <si>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</si>
  <si>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</si>
  <si>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</si>
  <si>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</si>
  <si>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</si>
  <si>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</si>
  <si>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</si>
  <si>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</si>
  <si>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</si>
  <si>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</si>
  <si>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</si>
  <si>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</si>
  <si>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</si>
  <si>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</si>
  <si>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</si>
  <si>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</si>
  <si>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</si>
  <si>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</si>
  <si>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</si>
  <si>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</si>
  <si>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</si>
  <si>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</si>
  <si>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</si>
  <si>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</si>
  <si>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</si>
  <si>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</si>
  <si>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</si>
  <si>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</si>
  <si>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</si>
  <si>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</si>
  <si>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</si>
  <si>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</si>
  <si>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</si>
  <si>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</si>
  <si>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</si>
  <si>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</si>
  <si>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</si>
  <si>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</si>
  <si>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</si>
  <si>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</si>
  <si>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</si>
  <si>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</si>
  <si>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</si>
  <si>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</si>
  <si>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</si>
  <si>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</si>
  <si>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</si>
  <si>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</si>
  <si>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</si>
  <si>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</si>
  <si>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</si>
  <si>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</si>
  <si>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</si>
  <si>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</si>
  <si>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</si>
  <si>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</si>
  <si>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</si>
  <si>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</si>
  <si>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</si>
  <si>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</si>
  <si>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</si>
  <si>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</si>
  <si>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</si>
  <si>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</si>
  <si>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</si>
  <si>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</si>
  <si>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</si>
  <si>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</si>
  <si>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</si>
  <si>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</si>
  <si>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</si>
  <si>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</si>
  <si>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</si>
  <si>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</si>
  <si>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</si>
  <si>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</si>
  <si>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</si>
  <si>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</si>
  <si>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</si>
  <si>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</si>
  <si>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</si>
  <si>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</si>
  <si>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</si>
  <si>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</si>
  <si>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</si>
  <si>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</si>
  <si>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</si>
  <si>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</si>
  <si>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</si>
  <si>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</si>
  <si>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</si>
  <si>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</si>
  <si>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</si>
  <si>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</si>
  <si>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</si>
  <si>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</si>
  <si>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</si>
  <si>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</si>
  <si>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</si>
  <si>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</si>
  <si>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</si>
  <si>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</si>
  <si>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</si>
  <si>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</si>
  <si>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</si>
  <si>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</si>
  <si>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</si>
  <si>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</si>
  <si>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</si>
  <si>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</si>
  <si>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</si>
  <si>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</si>
  <si>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</si>
  <si>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</si>
  <si>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</si>
  <si>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</si>
  <si>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</si>
  <si>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</si>
  <si>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</si>
  <si>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</si>
  <si>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</si>
  <si>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</si>
  <si>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</si>
  <si>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</si>
  <si>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</si>
  <si>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</si>
  <si>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</si>
  <si>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</si>
  <si>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</si>
  <si>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</si>
  <si>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</si>
  <si>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</si>
  <si>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</si>
  <si>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</si>
  <si>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</si>
  <si>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</si>
  <si>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</si>
  <si>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</si>
  <si>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</si>
  <si>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</si>
  <si>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</si>
  <si>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</si>
  <si>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</si>
  <si>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</si>
  <si>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</si>
  <si>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</si>
  <si>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</si>
  <si>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</si>
  <si>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</si>
  <si>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</si>
  <si>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</si>
  <si>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</si>
  <si>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</si>
  <si>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</si>
  <si>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</si>
  <si>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</si>
  <si>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</si>
  <si>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</si>
  <si>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</si>
  <si>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</si>
  <si>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</si>
  <si>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</si>
  <si>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</si>
  <si>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</si>
  <si>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</si>
  <si>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</si>
  <si>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</si>
  <si>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</si>
  <si>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</si>
  <si>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</si>
  <si>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</si>
  <si>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</si>
  <si>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</si>
  <si>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</si>
  <si>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</si>
  <si>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</si>
  <si>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</si>
  <si>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</si>
  <si>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</si>
  <si>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</si>
  <si>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</si>
  <si>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</si>
  <si>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</si>
  <si>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</si>
  <si>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</si>
  <si>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</si>
  <si>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</si>
  <si>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</si>
  <si>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</si>
  <si>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</si>
  <si>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</si>
  <si>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</si>
  <si>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</si>
  <si>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</si>
  <si>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</si>
  <si>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</si>
  <si>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</si>
  <si>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</si>
  <si>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</si>
  <si>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</si>
  <si>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</si>
  <si>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</si>
  <si>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</si>
  <si>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</si>
  <si>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</si>
  <si>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</si>
  <si>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</si>
  <si>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</si>
  <si>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</si>
  <si>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</si>
  <si>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</si>
  <si>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</si>
  <si>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</si>
  <si>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</si>
  <si>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</si>
  <si>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</si>
  <si>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</si>
  <si>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</si>
  <si>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</si>
  <si>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</si>
  <si>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</si>
  <si>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</si>
  <si>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</si>
  <si>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</si>
  <si>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</si>
  <si>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</si>
  <si>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</si>
  <si>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</si>
  <si>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</si>
  <si>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</si>
  <si>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</si>
  <si>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</si>
  <si>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</si>
  <si>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</si>
  <si>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</si>
  <si>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</si>
  <si>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</si>
  <si>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</si>
  <si>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</si>
  <si>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</si>
  <si>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</si>
  <si>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</si>
  <si>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</si>
  <si>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</si>
  <si>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</si>
  <si>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</si>
  <si>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</si>
  <si>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</si>
  <si>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</si>
  <si>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</si>
  <si>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</si>
  <si>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</si>
  <si>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</si>
  <si>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</si>
  <si>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</si>
  <si>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</si>
  <si>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</si>
  <si>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</si>
  <si>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</si>
  <si>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</si>
  <si>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</si>
  <si>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</si>
  <si>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</si>
  <si>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</si>
  <si>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</si>
  <si>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</si>
  <si>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</si>
  <si>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</si>
  <si>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</si>
  <si>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</si>
  <si>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</si>
  <si>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</si>
  <si>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</si>
  <si>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</si>
  <si>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</si>
  <si>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</si>
  <si>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</si>
  <si>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</si>
  <si>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</si>
  <si>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</si>
  <si>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</si>
  <si>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</si>
  <si>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</si>
  <si>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</si>
  <si>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</si>
  <si>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</si>
  <si>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</si>
  <si>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</si>
  <si>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</si>
  <si>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</si>
  <si>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</si>
  <si>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</si>
  <si>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</si>
  <si>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</si>
  <si>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</si>
  <si>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</si>
  <si>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</si>
  <si>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</si>
  <si>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</si>
  <si>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</si>
  <si>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</si>
  <si>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</si>
  <si>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</si>
  <si>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</si>
  <si>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</si>
  <si>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</si>
  <si>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</si>
  <si>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</si>
  <si>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</si>
  <si>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</si>
  <si>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</si>
  <si>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</si>
  <si>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</si>
  <si>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</si>
  <si>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</si>
  <si>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</si>
  <si>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</si>
  <si>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</si>
  <si>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</si>
  <si>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</si>
  <si>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</si>
  <si>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</si>
  <si>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</si>
  <si>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</si>
  <si>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</si>
  <si>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</si>
  <si>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</si>
  <si>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</si>
  <si>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</si>
  <si>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</si>
  <si>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</si>
  <si>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</si>
  <si>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</si>
  <si>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</si>
  <si>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</si>
  <si>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</si>
  <si>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</si>
  <si>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</si>
  <si>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</si>
  <si>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</si>
  <si>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</si>
  <si>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</si>
  <si>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</si>
  <si>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</si>
  <si>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</si>
  <si>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</si>
  <si>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</si>
  <si>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</si>
  <si>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</si>
  <si>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</si>
  <si>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</si>
  <si>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</si>
  <si>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</si>
  <si>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</si>
  <si>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</si>
  <si>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</si>
  <si>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</si>
  <si>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</si>
  <si>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</si>
  <si>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</si>
  <si>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</si>
  <si>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</si>
  <si>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</si>
  <si>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</si>
  <si>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</si>
  <si>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</si>
  <si>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</si>
  <si>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</si>
  <si>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</si>
  <si>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</si>
  <si>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</si>
  <si>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</si>
  <si>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</si>
  <si>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</si>
  <si>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</si>
  <si>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</si>
  <si>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</si>
  <si>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</si>
  <si>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</si>
  <si>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</si>
  <si>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</si>
  <si>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</si>
  <si>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</si>
  <si>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</si>
  <si>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</si>
  <si>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</si>
  <si>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</si>
  <si>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</si>
  <si>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</si>
  <si>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</si>
  <si>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</si>
  <si>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</si>
  <si>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</si>
  <si>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</si>
  <si>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</si>
  <si>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</si>
  <si>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</si>
  <si>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</si>
  <si>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</si>
  <si>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</si>
  <si>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</si>
  <si>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</si>
  <si>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</si>
  <si>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</si>
  <si>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</si>
  <si>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</si>
  <si>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</si>
  <si>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</si>
  <si>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</si>
  <si>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</si>
  <si>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</si>
  <si>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</si>
  <si>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</si>
  <si>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</si>
  <si>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</si>
  <si>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</si>
  <si>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</si>
  <si>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</si>
  <si>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</si>
  <si>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</si>
  <si>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</si>
  <si>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</si>
  <si>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</si>
  <si>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</si>
  <si>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</si>
  <si>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</si>
  <si>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</si>
  <si>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</si>
  <si>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</si>
  <si>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</si>
  <si>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</si>
  <si>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</si>
  <si>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</si>
  <si>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</si>
  <si>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</si>
  <si>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</si>
  <si>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</si>
  <si>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</si>
  <si>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</si>
  <si>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</si>
  <si>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</si>
  <si>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</si>
  <si>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</si>
  <si>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</si>
  <si>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</si>
  <si>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</si>
  <si>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</si>
  <si>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</si>
  <si>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</si>
  <si>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</si>
  <si>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</si>
  <si>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</si>
  <si>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</si>
  <si>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</si>
  <si>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</si>
  <si>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</si>
  <si>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</si>
  <si>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</si>
  <si>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</si>
  <si>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</si>
  <si>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</si>
  <si>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</si>
  <si>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</si>
  <si>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</si>
  <si>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</si>
  <si>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</si>
  <si>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</si>
  <si>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</si>
  <si>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</si>
  <si>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</si>
  <si>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</si>
  <si>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</si>
  <si>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</si>
  <si>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</si>
  <si>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</si>
  <si>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</si>
  <si>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</si>
  <si>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</si>
  <si>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</si>
  <si>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</si>
  <si>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</si>
  <si>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</si>
  <si>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</si>
  <si>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</si>
  <si>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</si>
  <si>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</si>
  <si>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</si>
  <si>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</si>
  <si>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</si>
  <si>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</si>
  <si>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</si>
  <si>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</si>
  <si>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</si>
  <si>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</si>
  <si>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</si>
  <si>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</si>
  <si>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</si>
  <si>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</si>
  <si>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</si>
  <si>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</si>
  <si>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</si>
  <si>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</si>
  <si>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</si>
  <si>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</si>
  <si>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</si>
  <si>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</si>
  <si>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</si>
  <si>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</si>
  <si>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</si>
  <si>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</si>
  <si>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</si>
  <si>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</si>
  <si>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</si>
  <si>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</si>
  <si>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</si>
  <si>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</si>
  <si>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</si>
  <si>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</si>
  <si>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</si>
  <si>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</si>
  <si>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</si>
  <si>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</si>
  <si>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</si>
  <si>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</si>
  <si>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</si>
  <si>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</si>
  <si>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</si>
  <si>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</si>
  <si>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</si>
  <si>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</si>
  <si>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</si>
  <si>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</si>
  <si>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</si>
  <si>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</si>
  <si>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</si>
  <si>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</si>
  <si>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</si>
  <si>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</si>
  <si>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</si>
  <si>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</si>
  <si>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</si>
  <si>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</si>
  <si>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</si>
  <si>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</si>
  <si>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</si>
  <si>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</si>
  <si>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</si>
  <si>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</si>
  <si>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</si>
  <si>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</si>
  <si>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</si>
  <si>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</si>
  <si>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</si>
  <si>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</si>
  <si>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</si>
  <si>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</si>
  <si>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</si>
  <si>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</si>
  <si>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</si>
  <si>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</si>
  <si>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</si>
  <si>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</si>
  <si>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</si>
  <si>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</si>
  <si>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</si>
  <si>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</si>
  <si>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</si>
  <si>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</si>
  <si>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</si>
  <si>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</si>
  <si>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</si>
  <si>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</si>
  <si>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</si>
  <si>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</si>
  <si>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</si>
  <si>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</si>
  <si>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</si>
  <si>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</si>
  <si>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</si>
  <si>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</si>
  <si>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</si>
  <si>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</si>
  <si>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</si>
  <si>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</si>
  <si>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</si>
  <si>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</si>
  <si>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</si>
  <si>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</si>
  <si>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</si>
  <si>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</si>
  <si>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</si>
  <si>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</si>
  <si>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</si>
  <si>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</si>
  <si>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</si>
  <si>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</si>
  <si>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</si>
  <si>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</si>
  <si>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</si>
  <si>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</si>
  <si>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</si>
  <si>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</si>
  <si>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</si>
  <si>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</si>
  <si>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</si>
  <si>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</si>
  <si>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</si>
  <si>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</si>
  <si>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</si>
  <si>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</si>
  <si>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</si>
  <si>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</si>
  <si>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</si>
  <si>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</si>
  <si>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</si>
  <si>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</si>
  <si>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</si>
  <si>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</si>
  <si>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</si>
  <si>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</si>
  <si>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</si>
  <si>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</si>
  <si>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</si>
  <si>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</si>
  <si>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</si>
  <si>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</si>
  <si>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</si>
  <si>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</si>
  <si>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</si>
  <si>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</si>
  <si>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</si>
  <si>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</si>
  <si>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</si>
  <si>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</si>
  <si>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</si>
  <si>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</si>
  <si>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</si>
  <si>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</si>
  <si>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</si>
  <si>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</si>
  <si>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</si>
  <si>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</si>
  <si>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</si>
  <si>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</si>
  <si>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</si>
  <si>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</si>
  <si>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</si>
  <si>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</si>
  <si>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</si>
  <si>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</si>
  <si>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</si>
  <si>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</si>
  <si>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</si>
  <si>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</si>
  <si>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</si>
  <si>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</si>
  <si>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</si>
  <si>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</si>
  <si>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</si>
  <si>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</si>
  <si>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</si>
  <si>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</si>
  <si>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</si>
  <si>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</si>
  <si>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</si>
  <si>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</si>
  <si>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</si>
  <si>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</si>
  <si>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</si>
  <si>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</si>
  <si>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</si>
  <si>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</si>
  <si>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</si>
  <si>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</si>
  <si>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</si>
  <si>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</si>
  <si>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</si>
  <si>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</si>
  <si>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</si>
  <si>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</si>
  <si>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</si>
  <si>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</si>
  <si>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</si>
  <si>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</si>
  <si>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</si>
  <si>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</si>
  <si>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</si>
  <si>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</si>
  <si>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</si>
  <si>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</si>
  <si>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</si>
  <si>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</si>
  <si>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</si>
  <si>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</si>
  <si>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</si>
  <si>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</si>
  <si>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</si>
  <si>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</si>
  <si>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</si>
  <si>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</si>
  <si>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</si>
  <si>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</si>
  <si>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</si>
  <si>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</si>
  <si>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</si>
  <si>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</si>
  <si>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</si>
  <si>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</si>
  <si>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</si>
  <si>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</si>
  <si>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</si>
  <si>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</si>
  <si>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</si>
  <si>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</si>
  <si>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</si>
  <si>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</si>
  <si>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</si>
  <si>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</si>
  <si>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</si>
  <si>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</si>
  <si>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</si>
  <si>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</si>
  <si>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</si>
  <si>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</si>
  <si>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</si>
  <si>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</si>
  <si>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</si>
  <si>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</si>
  <si>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</si>
  <si>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</si>
  <si>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</si>
  <si>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</si>
  <si>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</si>
  <si>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</si>
  <si>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</si>
  <si>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</si>
  <si>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</si>
  <si>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</si>
  <si>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</si>
  <si>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</si>
  <si>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</si>
  <si>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</si>
  <si>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</si>
  <si>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</si>
  <si>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</si>
  <si>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</si>
  <si>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</si>
  <si>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</si>
  <si>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</si>
  <si>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</si>
  <si>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</si>
  <si>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</si>
  <si>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</si>
  <si>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</si>
  <si>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</si>
  <si>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</si>
  <si>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</si>
  <si>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</si>
  <si>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</si>
  <si>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</si>
  <si>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</si>
  <si>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</si>
  <si>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</si>
  <si>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</si>
  <si>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</si>
  <si>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</si>
  <si>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</si>
  <si>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</si>
  <si>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</si>
  <si>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</si>
  <si>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</si>
  <si>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</si>
  <si>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</si>
  <si>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</si>
  <si>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</si>
  <si>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</si>
  <si>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</si>
  <si>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</si>
  <si>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</si>
  <si>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</si>
  <si>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</si>
  <si>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</si>
  <si>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</si>
  <si>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</si>
  <si>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</si>
  <si>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</si>
  <si>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</si>
  <si>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</si>
  <si>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</si>
  <si>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</si>
  <si>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</si>
  <si>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</si>
  <si>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</si>
  <si>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</si>
  <si>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</si>
  <si>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</si>
  <si>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</si>
  <si>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</si>
  <si>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</si>
  <si>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</si>
  <si>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</si>
  <si>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</si>
  <si>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</si>
  <si>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</si>
  <si>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</si>
  <si>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</si>
  <si>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</si>
  <si>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</si>
  <si>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</si>
  <si>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</si>
  <si>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</si>
  <si>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</si>
  <si>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</si>
  <si>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</si>
  <si>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</si>
  <si>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</si>
  <si>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</si>
  <si>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</si>
  <si>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</si>
  <si>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</si>
  <si>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</si>
  <si>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</si>
  <si>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</si>
  <si>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</si>
  <si>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</si>
  <si>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</si>
  <si>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</si>
  <si>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</si>
  <si>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</si>
  <si>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</si>
  <si>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</si>
  <si>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</si>
  <si>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</si>
  <si>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</si>
  <si>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</si>
  <si>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</si>
  <si>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</si>
  <si>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</si>
  <si>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</si>
  <si>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</si>
  <si>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</si>
  <si>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</si>
  <si>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</si>
  <si>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</si>
  <si>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</si>
  <si>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</si>
  <si>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</si>
  <si>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</si>
  <si>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</si>
  <si>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</si>
  <si>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</si>
  <si>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</si>
  <si>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</si>
  <si>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</si>
  <si>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</si>
  <si>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</si>
  <si>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</si>
  <si>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</si>
  <si>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</si>
  <si>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</si>
  <si>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</si>
  <si>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</si>
  <si>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</si>
  <si>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</si>
  <si>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</si>
  <si>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</si>
  <si>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</si>
  <si>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</si>
  <si>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</si>
  <si>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</si>
  <si>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</si>
  <si>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</si>
  <si>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</si>
  <si>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</si>
  <si>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</si>
  <si>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</si>
  <si>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</si>
  <si>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</si>
  <si>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</si>
  <si>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</si>
  <si>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</si>
  <si>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</si>
  <si>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</si>
  <si>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</si>
  <si>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</si>
  <si>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</si>
  <si>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</si>
  <si>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</si>
  <si>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</si>
  <si>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</si>
  <si>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</si>
  <si>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</si>
  <si>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</si>
  <si>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</si>
  <si>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</si>
  <si>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</si>
  <si>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</si>
  <si>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</si>
  <si>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</si>
  <si>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</si>
  <si>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</si>
  <si>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</si>
  <si>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</si>
  <si>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</si>
  <si>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</si>
  <si>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</si>
  <si>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</si>
  <si>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</si>
  <si>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</si>
  <si>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</si>
  <si>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</si>
  <si>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</si>
  <si>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</si>
  <si>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</si>
  <si>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</si>
  <si>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</si>
  <si>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</si>
  <si>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</si>
  <si>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</si>
  <si>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</si>
  <si>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</si>
  <si>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</si>
  <si>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</si>
  <si>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</si>
  <si>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</si>
  <si>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</si>
  <si>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</si>
  <si>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</si>
  <si>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</si>
  <si>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</si>
  <si>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</si>
  <si>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</si>
  <si>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</si>
  <si>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</si>
  <si>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</si>
  <si>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</si>
  <si>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</si>
  <si>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</si>
  <si>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</si>
  <si>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</si>
  <si>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</si>
  <si>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</si>
  <si>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</si>
  <si>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</si>
  <si>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</si>
  <si>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</si>
  <si>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</si>
  <si>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</si>
  <si>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</si>
  <si>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</si>
  <si>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</si>
  <si>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</si>
  <si>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</si>
  <si>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</si>
  <si>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</si>
  <si>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</si>
  <si>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</si>
  <si>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</si>
  <si>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</si>
  <si>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</si>
  <si>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</si>
  <si>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</si>
  <si>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</si>
  <si>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</si>
  <si>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</si>
  <si>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</si>
  <si>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</si>
  <si>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</si>
  <si>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</si>
  <si>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</si>
  <si>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</si>
  <si>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</si>
  <si>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</si>
  <si>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</si>
  <si>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</si>
  <si>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</si>
  <si>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</si>
  <si>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</si>
  <si>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</si>
  <si>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</si>
  <si>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</si>
  <si>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</si>
  <si>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</si>
  <si>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</si>
  <si>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</si>
  <si>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</si>
  <si>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</si>
  <si>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</si>
  <si>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</si>
  <si>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</si>
  <si>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</si>
  <si>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</si>
  <si>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</si>
  <si>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</si>
  <si>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</si>
  <si>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</si>
  <si>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</si>
  <si>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</si>
  <si>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</si>
  <si>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</si>
  <si>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</si>
  <si>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</si>
  <si>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</si>
  <si>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</si>
  <si>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</si>
  <si>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</si>
  <si>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</si>
  <si>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</si>
  <si>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</si>
  <si>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</si>
  <si>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</si>
  <si>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</si>
  <si>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</si>
  <si>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</si>
  <si>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</si>
  <si>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</si>
  <si>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</si>
  <si>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</si>
  <si>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</si>
  <si>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</si>
  <si>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</si>
  <si>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</si>
  <si>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</si>
  <si>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</si>
  <si>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</si>
  <si>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</si>
  <si>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</si>
  <si>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</si>
  <si>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</si>
  <si>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</si>
  <si>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</si>
  <si>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</si>
  <si>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</si>
  <si>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</si>
  <si>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</si>
  <si>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</si>
  <si>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</si>
  <si>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</si>
  <si>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</si>
  <si>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</si>
  <si>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</si>
  <si>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</si>
  <si>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</si>
  <si>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</si>
  <si>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</si>
  <si>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</si>
  <si>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</si>
  <si>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</si>
  <si>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</si>
  <si>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</si>
  <si>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</si>
  <si>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</si>
  <si>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</si>
  <si>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</si>
  <si>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</si>
  <si>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</si>
  <si>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</si>
  <si>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</si>
  <si>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</si>
  <si>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</si>
  <si>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</si>
  <si>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</si>
  <si>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</si>
  <si>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</si>
  <si>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</si>
  <si>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</si>
  <si>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</si>
  <si>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</si>
  <si>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</si>
  <si>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</si>
  <si>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</si>
  <si>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</si>
  <si>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</si>
  <si>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</si>
  <si>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</si>
  <si>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</si>
  <si>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</si>
  <si>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</si>
  <si>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</si>
  <si>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</si>
  <si>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</si>
  <si>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</si>
  <si>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</si>
  <si>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</si>
  <si>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</si>
  <si>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</si>
  <si>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</si>
  <si>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</si>
  <si>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</si>
  <si>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</si>
  <si>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</si>
  <si>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</si>
  <si>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</si>
  <si>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</si>
  <si>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</si>
  <si>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</si>
  <si>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</si>
  <si>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</si>
  <si>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</si>
  <si>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</si>
  <si>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</si>
  <si>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</si>
  <si>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</si>
  <si>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</si>
  <si>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</si>
  <si>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</si>
  <si>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</si>
  <si>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</si>
  <si>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</si>
  <si>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</si>
  <si>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</si>
  <si>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</si>
  <si>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</si>
  <si>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</si>
  <si>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</si>
  <si>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</si>
  <si>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</si>
  <si>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</si>
  <si>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</si>
  <si>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</si>
  <si>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</si>
  <si>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</si>
  <si>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</si>
  <si>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</si>
  <si>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</si>
  <si>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</si>
  <si>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</si>
  <si>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</si>
  <si>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</si>
  <si>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</si>
  <si>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</si>
  <si>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</si>
  <si>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</si>
  <si>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</si>
  <si>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</si>
  <si>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</si>
  <si>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</si>
  <si>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</si>
  <si>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</si>
  <si>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</si>
  <si>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</si>
  <si>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</si>
  <si>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</si>
  <si>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</si>
  <si>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</si>
  <si>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</si>
  <si>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</si>
  <si>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</si>
  <si>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</si>
  <si>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</si>
  <si>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</si>
  <si>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</si>
  <si>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</si>
  <si>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</si>
  <si>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</si>
  <si>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</si>
  <si>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</si>
  <si>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</si>
  <si>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</si>
  <si>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</si>
  <si>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</si>
  <si>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</si>
  <si>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</si>
  <si>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</si>
  <si>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</si>
  <si>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</si>
  <si>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</si>
  <si>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</si>
  <si>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</si>
  <si>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</si>
  <si>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</si>
  <si>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</si>
  <si>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</si>
  <si>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</si>
  <si>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</si>
  <si>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</si>
  <si>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</si>
  <si>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</si>
  <si>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</si>
  <si>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</si>
  <si>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</si>
  <si>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</si>
  <si>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</si>
  <si>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</si>
  <si>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</si>
  <si>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</si>
  <si>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</si>
  <si>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</si>
  <si>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</si>
  <si>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</si>
  <si>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</si>
  <si>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</si>
  <si>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</si>
  <si>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</si>
  <si>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</si>
  <si>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</si>
  <si>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</si>
  <si>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</si>
  <si>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</si>
  <si>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</si>
  <si>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</si>
  <si>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</si>
  <si>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</si>
  <si>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</si>
  <si>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</si>
  <si>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</si>
  <si>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</si>
  <si>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</si>
  <si>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</si>
  <si>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</si>
  <si>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</si>
  <si>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</si>
  <si>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</si>
  <si>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</si>
  <si>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</si>
  <si>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</si>
  <si>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</si>
  <si>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</si>
  <si>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</si>
  <si>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</si>
  <si>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</si>
  <si>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</si>
  <si>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</si>
  <si>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</si>
  <si>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</si>
  <si>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</si>
  <si>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</si>
  <si>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</si>
  <si>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</si>
  <si>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</si>
  <si>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</si>
  <si>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</si>
  <si>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</si>
  <si>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</si>
  <si>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</si>
  <si>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</si>
  <si>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</si>
  <si>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</si>
  <si>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</si>
  <si>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</si>
  <si>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</si>
  <si>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</si>
  <si>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</si>
  <si>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</si>
  <si>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</si>
  <si>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</si>
  <si>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</si>
  <si>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</si>
  <si>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</si>
  <si>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</si>
  <si>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</si>
  <si>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</si>
  <si>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</si>
  <si>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</si>
  <si>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</si>
  <si>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</si>
  <si>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</si>
  <si>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</si>
  <si>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</si>
  <si>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</si>
  <si>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</si>
  <si>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</si>
  <si>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</si>
  <si>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</si>
  <si>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</si>
  <si>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</si>
  <si>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</si>
  <si>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</si>
  <si>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</si>
  <si>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</si>
  <si>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</si>
  <si>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</si>
  <si>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</si>
  <si>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</si>
  <si>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</si>
  <si>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</si>
  <si>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</si>
  <si>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</si>
  <si>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</si>
  <si>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</si>
  <si>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</si>
  <si>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</si>
  <si>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</si>
  <si>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</si>
  <si>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</si>
  <si>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</si>
  <si>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</si>
  <si>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</si>
  <si>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</si>
  <si>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</si>
  <si>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</si>
  <si>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</si>
  <si>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</si>
  <si>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</si>
  <si>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</si>
  <si>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</si>
  <si>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</si>
  <si>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</si>
  <si>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</si>
  <si>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</si>
  <si>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</si>
  <si>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</si>
  <si>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</si>
  <si>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</si>
  <si>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</si>
  <si>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</si>
  <si>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</si>
  <si>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</si>
  <si>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</si>
  <si>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</si>
  <si>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</si>
  <si>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</si>
  <si>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</si>
  <si>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</si>
  <si>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</si>
  <si>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</si>
  <si>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</si>
  <si>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</si>
  <si>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</si>
  <si>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</si>
  <si>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</si>
  <si>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</si>
  <si>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</si>
  <si>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</si>
  <si>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</si>
  <si>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</si>
  <si>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</si>
  <si>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</si>
  <si>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</si>
  <si>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</si>
  <si>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</si>
  <si>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</si>
  <si>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</si>
  <si>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</si>
  <si>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</si>
  <si>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</si>
  <si>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</si>
  <si>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</si>
  <si>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</si>
  <si>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</si>
  <si>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</si>
  <si>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</si>
  <si>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</si>
  <si>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</si>
  <si>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</si>
  <si>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</si>
  <si>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</si>
  <si>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</si>
  <si>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</si>
  <si>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</si>
  <si>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</si>
  <si>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</si>
  <si>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</si>
  <si>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</si>
  <si>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</si>
  <si>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</si>
  <si>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</si>
  <si>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</si>
  <si>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</si>
  <si>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</si>
  <si>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</si>
  <si>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</si>
  <si>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</si>
  <si>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</si>
  <si>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</si>
  <si>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</si>
  <si>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</si>
  <si>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</si>
  <si>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</si>
  <si>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</si>
  <si>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</si>
  <si>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</si>
  <si>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</si>
  <si>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</si>
  <si>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</si>
  <si>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</si>
  <si>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</si>
  <si>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</si>
  <si>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</si>
  <si>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</si>
  <si>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</si>
  <si>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</si>
  <si>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</si>
  <si>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</si>
  <si>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</si>
  <si>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</si>
  <si>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</si>
  <si>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</si>
  <si>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</si>
  <si>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</si>
  <si>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</si>
  <si>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</si>
  <si>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</si>
  <si>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</si>
  <si>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</si>
  <si>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</si>
  <si>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</si>
  <si>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</si>
  <si>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</si>
  <si>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</si>
  <si>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</si>
  <si>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</si>
  <si>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</si>
  <si>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</si>
  <si>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</si>
  <si>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</si>
  <si>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</si>
  <si>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</si>
  <si>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</si>
  <si>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</si>
  <si>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</si>
  <si>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</si>
  <si>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</si>
  <si>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</si>
  <si>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</si>
  <si>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</si>
  <si>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</si>
  <si>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</si>
  <si>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</si>
  <si>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</si>
  <si>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</si>
  <si>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</si>
  <si>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</si>
  <si>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</si>
  <si>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</si>
  <si>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</si>
  <si>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</si>
  <si>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</si>
  <si>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</si>
  <si>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</si>
  <si>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</si>
  <si>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</si>
  <si>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</si>
  <si>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</si>
  <si>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</si>
  <si>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</si>
  <si>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</si>
  <si>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</si>
  <si>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</si>
  <si>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</si>
  <si>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</si>
  <si>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</si>
  <si>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</si>
  <si>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</si>
  <si>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</si>
  <si>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</si>
  <si>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</si>
  <si>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</si>
  <si>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</si>
  <si>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</si>
  <si>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</si>
  <si>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</si>
  <si>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</si>
  <si>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</si>
  <si>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</si>
  <si>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</si>
  <si>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</si>
  <si>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</si>
  <si>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</si>
  <si>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</si>
  <si>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</si>
  <si>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</si>
  <si>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</si>
  <si>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</si>
  <si>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</si>
  <si>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</si>
  <si>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</si>
  <si>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</si>
  <si>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</si>
  <si>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</si>
  <si>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</si>
  <si>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</si>
  <si>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</si>
  <si>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</si>
  <si>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</si>
  <si>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</si>
  <si>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</si>
  <si>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</si>
  <si>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</si>
  <si>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</si>
  <si>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</si>
  <si>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</si>
  <si>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</si>
  <si>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</si>
  <si>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</si>
  <si>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</si>
  <si>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</si>
  <si>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</si>
  <si>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</si>
  <si>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</si>
  <si>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</si>
  <si>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</si>
  <si>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</si>
  <si>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</si>
  <si>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</si>
  <si>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</si>
  <si>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</si>
  <si>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</si>
  <si>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</si>
  <si>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</si>
  <si>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</si>
  <si>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</si>
  <si>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</si>
  <si>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</si>
  <si>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</si>
  <si>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</si>
  <si>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</si>
  <si>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</si>
  <si>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</si>
  <si>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</si>
  <si>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</si>
  <si>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</si>
  <si>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</si>
  <si>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</si>
  <si>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</si>
  <si>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</si>
  <si>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</si>
  <si>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</si>
  <si>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</si>
  <si>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</si>
  <si>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</si>
  <si>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</si>
  <si>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</si>
  <si>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</si>
  <si>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</si>
  <si>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</si>
  <si>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</si>
  <si>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</si>
  <si>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</si>
  <si>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</si>
  <si>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</si>
  <si>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</si>
  <si>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</si>
  <si>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</si>
  <si>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</si>
  <si>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</si>
  <si>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</si>
  <si>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</si>
  <si>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</si>
  <si>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</si>
  <si>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</si>
  <si>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</si>
  <si>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</si>
  <si>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</si>
  <si>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</si>
  <si>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</si>
  <si>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</si>
  <si>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</si>
  <si>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</si>
  <si>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</si>
  <si>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</si>
  <si>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</si>
  <si>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</si>
  <si>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</si>
  <si>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</si>
  <si>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</si>
  <si>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</si>
  <si>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</si>
  <si>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</si>
  <si>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</si>
  <si>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</si>
  <si>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</si>
  <si>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</si>
  <si>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</si>
  <si>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</si>
  <si>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</si>
  <si>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</si>
  <si>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</si>
  <si>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</si>
  <si>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</si>
  <si>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</si>
  <si>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</si>
  <si>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</si>
  <si>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</si>
  <si>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</si>
  <si>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</si>
  <si>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</si>
  <si>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</si>
  <si>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</si>
  <si>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</si>
  <si>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</si>
  <si>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</si>
  <si>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</si>
  <si>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</si>
  <si>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</si>
  <si>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</si>
  <si>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</si>
  <si>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</si>
  <si>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</si>
  <si>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</si>
  <si>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</si>
  <si>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</si>
  <si>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</si>
  <si>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</si>
  <si>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</si>
  <si>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</si>
  <si>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</si>
  <si>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</si>
  <si>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</si>
  <si>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</si>
  <si>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</si>
  <si>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</si>
  <si>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</si>
  <si>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</si>
  <si>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</si>
  <si>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</si>
  <si>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</si>
  <si>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</si>
  <si>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</si>
  <si>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</si>
  <si>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</si>
  <si>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</si>
  <si>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</si>
  <si>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</si>
  <si>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</si>
  <si>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</si>
  <si>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</si>
  <si>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</si>
  <si>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</si>
  <si>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</si>
  <si>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</si>
  <si>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</si>
  <si>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</si>
  <si>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</si>
  <si>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</si>
  <si>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</si>
  <si>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</si>
  <si>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</si>
  <si>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</si>
  <si>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</si>
  <si>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</si>
  <si>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</si>
  <si>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</si>
  <si>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</si>
  <si>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</si>
  <si>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</si>
  <si>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</si>
  <si>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</si>
  <si>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</si>
  <si>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</si>
  <si>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</si>
  <si>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</si>
  <si>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</si>
  <si>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</si>
  <si>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</si>
  <si>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</si>
  <si>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</si>
  <si>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</si>
  <si>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</si>
  <si>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</si>
  <si>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</si>
  <si>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</si>
  <si>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</si>
  <si>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</si>
  <si>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</si>
  <si>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</si>
  <si>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</si>
  <si>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</si>
  <si>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</si>
  <si>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</si>
  <si>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</si>
  <si>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</si>
  <si>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</si>
  <si>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</si>
  <si>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</si>
  <si>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</si>
  <si>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</si>
  <si>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</si>
  <si>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</si>
  <si>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</si>
  <si>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</si>
  <si>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</si>
  <si>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</si>
  <si>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</si>
  <si>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</si>
  <si>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</si>
  <si>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</si>
  <si>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</si>
  <si>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</si>
  <si>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</si>
  <si>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</si>
  <si>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</si>
  <si>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</si>
  <si>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</si>
  <si>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</si>
  <si>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</si>
  <si>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</si>
  <si>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</si>
  <si>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</si>
  <si>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</si>
  <si>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</si>
  <si>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</si>
  <si>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</si>
  <si>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</si>
  <si>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</si>
  <si>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</si>
  <si>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</si>
  <si>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</si>
  <si>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</si>
  <si>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</si>
  <si>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</si>
  <si>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</si>
  <si>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</si>
  <si>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</si>
  <si>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</si>
  <si>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</si>
  <si>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</si>
  <si>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</si>
  <si>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</si>
  <si>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</si>
  <si>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</si>
  <si>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</si>
  <si>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</si>
  <si>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</si>
  <si>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</si>
  <si>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</si>
  <si>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</si>
  <si>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</si>
  <si>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</si>
  <si>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</si>
  <si>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</si>
  <si>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</si>
  <si>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</si>
  <si>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</si>
  <si>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</si>
  <si>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</si>
  <si>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</si>
  <si>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</si>
  <si>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</si>
  <si>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</si>
  <si>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</si>
  <si>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</si>
  <si>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</si>
  <si>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</si>
  <si>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</si>
  <si>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</si>
  <si>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</si>
  <si>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</si>
  <si>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</si>
  <si>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</si>
  <si>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</si>
  <si>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</si>
  <si>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</si>
  <si>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</si>
  <si>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</si>
  <si>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</si>
  <si>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</si>
  <si>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</si>
  <si>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</si>
  <si>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</si>
  <si>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</si>
  <si>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</si>
  <si>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</si>
  <si>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</si>
  <si>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</si>
  <si>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</si>
  <si>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</si>
  <si>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</si>
  <si>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</si>
  <si>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</si>
  <si>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</si>
  <si>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</si>
  <si>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</si>
  <si>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</si>
  <si>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</si>
  <si>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</si>
  <si>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</si>
  <si>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</si>
  <si>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</si>
  <si>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</si>
  <si>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</si>
  <si>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</si>
  <si>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</si>
  <si>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</si>
  <si>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</si>
  <si>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</si>
  <si>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</si>
  <si>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</si>
  <si>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</si>
  <si>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</si>
  <si>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</si>
  <si>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</si>
  <si>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</si>
  <si>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</si>
  <si>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</si>
  <si>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</si>
  <si>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</si>
  <si>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</si>
  <si>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</si>
  <si>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</si>
  <si>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</si>
  <si>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</si>
  <si>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</si>
  <si>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</si>
  <si>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</si>
  <si>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</si>
  <si>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</si>
  <si>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</si>
  <si>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</si>
  <si>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</si>
  <si>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</si>
  <si>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</si>
  <si>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</si>
  <si>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</si>
  <si>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</si>
  <si>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</si>
  <si>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</si>
  <si>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</si>
  <si>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</si>
  <si>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</si>
  <si>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</si>
  <si>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</si>
  <si>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</si>
  <si>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</si>
  <si>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</si>
  <si>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</si>
  <si>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</si>
  <si>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</si>
  <si>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</si>
  <si>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</si>
  <si>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</si>
  <si>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</si>
  <si>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</si>
  <si>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</si>
  <si>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</si>
  <si>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</si>
  <si>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</si>
  <si>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</si>
  <si>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</si>
  <si>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</si>
  <si>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</si>
  <si>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</si>
  <si>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</si>
  <si>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</si>
  <si>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</si>
  <si>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</si>
  <si>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</si>
  <si>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</si>
  <si>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</si>
  <si>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</si>
  <si>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</si>
  <si>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</si>
  <si>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</si>
  <si>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</si>
  <si>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</si>
  <si>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</si>
  <si>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</si>
  <si>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</si>
  <si>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</si>
  <si>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</si>
  <si>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</si>
  <si>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</si>
  <si>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</si>
  <si>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</si>
  <si>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</si>
  <si>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</si>
  <si>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</si>
  <si>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</si>
  <si>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</si>
  <si>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</si>
  <si>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</si>
  <si>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</si>
  <si>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</si>
  <si>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</si>
  <si>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</si>
  <si>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</si>
  <si>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</si>
  <si>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</si>
  <si>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</si>
  <si>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</si>
  <si>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</si>
  <si>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</si>
  <si>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</si>
  <si>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</si>
  <si>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</si>
  <si>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</si>
  <si>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</si>
  <si>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</si>
  <si>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</si>
  <si>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</si>
  <si>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</si>
  <si>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</si>
  <si>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</si>
  <si>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</si>
  <si>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</si>
  <si>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</si>
  <si>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</si>
  <si>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</si>
  <si>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</si>
  <si>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</si>
  <si>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</si>
  <si>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</si>
  <si>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</si>
  <si>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</si>
  <si>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</si>
  <si>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</si>
  <si>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</si>
  <si>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</si>
  <si>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</si>
  <si>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</si>
  <si>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</si>
  <si>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</si>
  <si>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</si>
  <si>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</si>
  <si>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</si>
  <si>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</si>
  <si>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</si>
  <si>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</si>
  <si>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</si>
  <si>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</si>
  <si>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</si>
  <si>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</si>
  <si>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</si>
  <si>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</si>
  <si>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</si>
  <si>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</si>
  <si>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</si>
  <si>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</si>
  <si>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</si>
  <si>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</si>
  <si>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</si>
  <si>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</si>
  <si>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</si>
  <si>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</si>
  <si>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</si>
  <si>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</si>
  <si>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</si>
  <si>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</si>
  <si>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</si>
  <si>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</si>
  <si>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</si>
  <si>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</si>
  <si>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</si>
  <si>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</si>
  <si>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</si>
  <si>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</si>
  <si>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</si>
  <si>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</si>
  <si>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</si>
  <si>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</si>
  <si>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</si>
  <si>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</si>
  <si>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</si>
  <si>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</si>
  <si>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</si>
  <si>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</si>
  <si>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</si>
  <si>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</si>
  <si>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</si>
  <si>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</si>
  <si>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</si>
  <si>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</si>
  <si>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</si>
  <si>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</si>
  <si>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</si>
  <si>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</si>
  <si>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</si>
  <si>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</si>
  <si>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</si>
  <si>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</si>
  <si>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</si>
  <si>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</si>
  <si>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</si>
  <si>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</si>
  <si>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</si>
  <si>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</si>
  <si>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</si>
  <si>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</si>
  <si>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</si>
  <si>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</si>
  <si>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</si>
  <si>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</si>
  <si>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</si>
  <si>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</si>
  <si>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</si>
  <si>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</si>
  <si>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</si>
  <si>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</si>
  <si>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</si>
  <si>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</si>
  <si>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</si>
  <si>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</si>
  <si>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</si>
  <si>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</si>
  <si>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</si>
  <si>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</si>
  <si>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</si>
  <si>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</si>
  <si>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</si>
  <si>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</si>
  <si>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</si>
  <si>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</si>
  <si>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</si>
  <si>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</si>
  <si>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</si>
  <si>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</si>
  <si>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</si>
  <si>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</si>
  <si>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</si>
  <si>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</si>
  <si>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</si>
  <si>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</si>
  <si>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</si>
  <si>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</si>
  <si>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</si>
  <si>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</si>
  <si>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</si>
  <si>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</si>
  <si>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</si>
  <si>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</si>
  <si>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Metric</t>
  </si>
  <si>
    <t>Count</t>
  </si>
  <si>
    <t>Mean</t>
  </si>
  <si>
    <t>Median</t>
  </si>
  <si>
    <t>Minimum</t>
  </si>
  <si>
    <t>Maximum</t>
  </si>
  <si>
    <t>Unit Price</t>
  </si>
  <si>
    <t>Total Price</t>
  </si>
  <si>
    <t>Row Labels</t>
  </si>
  <si>
    <t>(blank)</t>
  </si>
  <si>
    <t>Grand Total</t>
  </si>
  <si>
    <t>Count of Product</t>
  </si>
  <si>
    <t>Sum of TotalPrice</t>
  </si>
  <si>
    <t>Count of PaymentMethod</t>
  </si>
  <si>
    <t>Count of OrderStatus</t>
  </si>
  <si>
    <t>Count of ReferralSource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</si>
</sst>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thuvel" refreshedDate="46178.55678402778" createdVersion="8" refreshedVersion="8" minRefreshableVersion="3" recordCount="1201" xr:uid="{AEFCBAA0-B371-4E64-8D10-E76CDA307FE7}">
  <cacheSource type="worksheet">
    <worksheetSource ref="A1:N1048576" sheet="Sheet1"/>
  </cacheSource>
  <cacheFields count="14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m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m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m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m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m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m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m/>
    <x v="3"/>
    <n v="1500.24"/>
  </r>
  <r>
    <s v="ORD200032"/>
    <d v="2023-05-01T00:00:00"/>
    <s v="C12388"/>
    <x v="2"/>
    <n v="5"/>
    <n v="536.72"/>
    <s v="830 Main St"/>
    <x v="4"/>
    <x v="3"/>
    <s v="TRK99261395"/>
    <n v="10"/>
    <m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m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m/>
    <x v="0"/>
    <n v="303.32"/>
  </r>
  <r>
    <s v="ORD200043"/>
    <d v="2023-12-14T00:00:00"/>
    <s v="C60572"/>
    <x v="3"/>
    <n v="3"/>
    <n v="499.21"/>
    <s v="871 Main St"/>
    <x v="1"/>
    <x v="1"/>
    <s v="TRK20351666"/>
    <n v="8"/>
    <m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m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m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m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m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m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m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m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m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m/>
    <x v="3"/>
    <n v="1733.8"/>
  </r>
  <r>
    <s v="ORD200074"/>
    <d v="2023-06-24T00:00:00"/>
    <s v="C25382"/>
    <x v="1"/>
    <n v="5"/>
    <n v="90.87"/>
    <s v="622 Main St"/>
    <x v="4"/>
    <x v="4"/>
    <s v="TRK64691287"/>
    <n v="5"/>
    <m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m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m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m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m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m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m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m/>
    <x v="1"/>
    <n v="470.04"/>
  </r>
  <r>
    <s v="ORD200096"/>
    <d v="2024-06-01T00:00:00"/>
    <s v="C93007"/>
    <x v="1"/>
    <n v="2"/>
    <n v="232.83"/>
    <s v="103 Main St"/>
    <x v="3"/>
    <x v="3"/>
    <s v="TRK85696091"/>
    <n v="7"/>
    <m/>
    <x v="0"/>
    <n v="465.66"/>
  </r>
  <r>
    <s v="ORD200097"/>
    <d v="2025-01-21T00:00:00"/>
    <s v="C15624"/>
    <x v="2"/>
    <n v="5"/>
    <n v="619.52"/>
    <s v="922 Main St"/>
    <x v="0"/>
    <x v="4"/>
    <s v="TRK40621141"/>
    <n v="9"/>
    <m/>
    <x v="2"/>
    <n v="3097.6"/>
  </r>
  <r>
    <s v="ORD200098"/>
    <d v="2023-01-14T00:00:00"/>
    <s v="C70921"/>
    <x v="4"/>
    <n v="2"/>
    <n v="228.54"/>
    <s v="533 Main St"/>
    <x v="0"/>
    <x v="4"/>
    <s v="TRK54983109"/>
    <n v="3"/>
    <m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m/>
    <x v="3"/>
    <n v="1994.37"/>
  </r>
  <r>
    <s v="ORD200101"/>
    <d v="2023-11-25T00:00:00"/>
    <s v="C15283"/>
    <x v="4"/>
    <n v="1"/>
    <n v="381.02"/>
    <s v="152 Main St"/>
    <x v="4"/>
    <x v="0"/>
    <s v="TRK19286291"/>
    <n v="6"/>
    <m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m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m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m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m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m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m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m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m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m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m/>
    <x v="1"/>
    <n v="1600.28"/>
  </r>
  <r>
    <s v="ORD200144"/>
    <d v="2023-08-04T00:00:00"/>
    <s v="C63365"/>
    <x v="6"/>
    <n v="5"/>
    <n v="219.78"/>
    <s v="895 Main St"/>
    <x v="2"/>
    <x v="4"/>
    <s v="TRK80100887"/>
    <n v="8"/>
    <m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m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m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m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m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m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m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m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m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m/>
    <x v="2"/>
    <n v="1619.73"/>
  </r>
  <r>
    <s v="ORD200180"/>
    <d v="2023-03-18T00:00:00"/>
    <s v="C87216"/>
    <x v="2"/>
    <n v="5"/>
    <n v="316.07"/>
    <s v="970 Main St"/>
    <x v="4"/>
    <x v="2"/>
    <s v="TRK18713727"/>
    <n v="10"/>
    <m/>
    <x v="4"/>
    <n v="1580.35"/>
  </r>
  <r>
    <s v="ORD200181"/>
    <d v="2024-08-31T00:00:00"/>
    <s v="C38966"/>
    <x v="4"/>
    <n v="5"/>
    <n v="404.39"/>
    <s v="247 Main St"/>
    <x v="1"/>
    <x v="0"/>
    <s v="TRK17205146"/>
    <n v="10"/>
    <m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m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m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m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m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m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m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m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m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m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m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m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m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m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m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m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m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m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m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m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m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m/>
    <x v="3"/>
    <n v="65.95"/>
  </r>
  <r>
    <s v="ORD200293"/>
    <d v="2023-02-16T00:00:00"/>
    <s v="C33220"/>
    <x v="2"/>
    <n v="4"/>
    <n v="463.04"/>
    <s v="564 Main St"/>
    <x v="3"/>
    <x v="2"/>
    <s v="TRK40450219"/>
    <n v="9"/>
    <m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m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m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m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m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m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m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m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m/>
    <x v="1"/>
    <n v="212.79"/>
  </r>
  <r>
    <s v="ORD200325"/>
    <d v="2023-06-29T00:00:00"/>
    <s v="C53545"/>
    <x v="6"/>
    <n v="3"/>
    <n v="361.39"/>
    <s v="665 Main St"/>
    <x v="2"/>
    <x v="0"/>
    <s v="TRK61123177"/>
    <n v="8"/>
    <m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m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m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m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m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m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m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m/>
    <x v="0"/>
    <n v="108.82"/>
  </r>
  <r>
    <s v="ORD200351"/>
    <d v="2025-02-15T00:00:00"/>
    <s v="C94248"/>
    <x v="5"/>
    <n v="1"/>
    <n v="64.66"/>
    <s v="494 Main St"/>
    <x v="0"/>
    <x v="3"/>
    <s v="TRK89406816"/>
    <n v="4"/>
    <m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m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m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m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m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m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m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m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m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m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m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m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m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m/>
    <x v="2"/>
    <n v="1036.46"/>
  </r>
  <r>
    <s v="ORD200411"/>
    <d v="2024-06-19T00:00:00"/>
    <s v="C66567"/>
    <x v="6"/>
    <n v="2"/>
    <n v="39.51"/>
    <s v="981 Main St"/>
    <x v="1"/>
    <x v="0"/>
    <s v="TRK21174822"/>
    <n v="5"/>
    <m/>
    <x v="3"/>
    <n v="79.02"/>
  </r>
  <r>
    <s v="ORD200412"/>
    <d v="2025-04-11T00:00:00"/>
    <s v="C42451"/>
    <x v="2"/>
    <n v="5"/>
    <n v="133.01"/>
    <s v="246 Main St"/>
    <x v="2"/>
    <x v="2"/>
    <s v="TRK31313343"/>
    <n v="10"/>
    <m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m/>
    <x v="4"/>
    <n v="277.05"/>
  </r>
  <r>
    <s v="ORD200418"/>
    <d v="2023-01-11T00:00:00"/>
    <s v="C74169"/>
    <x v="4"/>
    <n v="1"/>
    <n v="310.93"/>
    <s v="862 Main St"/>
    <x v="1"/>
    <x v="1"/>
    <s v="TRK66144809"/>
    <n v="3"/>
    <m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m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m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m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m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m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m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m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m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m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m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m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m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m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m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m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m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m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m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m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m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m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m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m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m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m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m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m/>
    <x v="4"/>
    <n v="357.64"/>
  </r>
  <r>
    <s v="ORD200531"/>
    <d v="2024-07-02T00:00:00"/>
    <s v="C64502"/>
    <x v="6"/>
    <n v="5"/>
    <n v="320.01"/>
    <s v="722 Main St"/>
    <x v="3"/>
    <x v="3"/>
    <s v="TRK14914388"/>
    <n v="6"/>
    <m/>
    <x v="1"/>
    <n v="1600.05"/>
  </r>
  <r>
    <s v="ORD200532"/>
    <d v="2025-05-03T00:00:00"/>
    <s v="C47365"/>
    <x v="5"/>
    <n v="2"/>
    <n v="41"/>
    <s v="369 Main St"/>
    <x v="1"/>
    <x v="3"/>
    <s v="TRK42207882"/>
    <n v="7"/>
    <m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m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m/>
    <x v="1"/>
    <n v="3243.25"/>
  </r>
  <r>
    <s v="ORD200541"/>
    <d v="2023-08-07T00:00:00"/>
    <s v="C69009"/>
    <x v="4"/>
    <n v="5"/>
    <n v="456.06"/>
    <s v="879 Main St"/>
    <x v="4"/>
    <x v="4"/>
    <s v="TRK61295842"/>
    <n v="10"/>
    <m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m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m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m/>
    <x v="2"/>
    <n v="2355.4"/>
  </r>
  <r>
    <s v="ORD200561"/>
    <d v="2023-01-31T00:00:00"/>
    <s v="C96822"/>
    <x v="4"/>
    <n v="2"/>
    <n v="494.78"/>
    <s v="198 Main St"/>
    <x v="1"/>
    <x v="0"/>
    <s v="TRK89180077"/>
    <n v="2"/>
    <m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m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m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m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m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m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m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m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m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m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m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m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m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m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m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m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m/>
    <x v="1"/>
    <n v="553.41"/>
  </r>
  <r>
    <s v="ORD200618"/>
    <d v="2024-09-03T00:00:00"/>
    <s v="C50565"/>
    <x v="2"/>
    <n v="1"/>
    <n v="411.34"/>
    <s v="399 Main St"/>
    <x v="0"/>
    <x v="2"/>
    <s v="TRK97981418"/>
    <n v="5"/>
    <m/>
    <x v="0"/>
    <n v="411.34"/>
  </r>
  <r>
    <s v="ORD200619"/>
    <d v="2024-07-16T00:00:00"/>
    <s v="C38845"/>
    <x v="5"/>
    <n v="1"/>
    <n v="532.89"/>
    <s v="764 Main St"/>
    <x v="3"/>
    <x v="4"/>
    <s v="TRK47637374"/>
    <n v="2"/>
    <m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m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m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m/>
    <x v="1"/>
    <n v="59.19"/>
  </r>
  <r>
    <s v="ORD200630"/>
    <d v="2023-06-23T00:00:00"/>
    <s v="C51481"/>
    <x v="0"/>
    <n v="5"/>
    <n v="248.84"/>
    <s v="140 Main St"/>
    <x v="0"/>
    <x v="1"/>
    <s v="TRK33437701"/>
    <n v="10"/>
    <m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m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m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m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m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m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m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m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m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m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m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m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m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m/>
    <x v="3"/>
    <n v="889.68"/>
  </r>
  <r>
    <s v="ORD200690"/>
    <d v="2024-07-12T00:00:00"/>
    <s v="C29318"/>
    <x v="0"/>
    <n v="1"/>
    <n v="24.48"/>
    <s v="128 Main St"/>
    <x v="3"/>
    <x v="2"/>
    <s v="TRK88666721"/>
    <n v="1"/>
    <m/>
    <x v="0"/>
    <n v="24.48"/>
  </r>
  <r>
    <s v="ORD200691"/>
    <d v="2024-11-24T00:00:00"/>
    <s v="C36137"/>
    <x v="5"/>
    <n v="3"/>
    <n v="239.08"/>
    <s v="396 Main St"/>
    <x v="4"/>
    <x v="0"/>
    <s v="TRK57376416"/>
    <n v="8"/>
    <m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m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m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m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m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m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m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m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m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m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m/>
    <x v="4"/>
    <n v="754.94"/>
  </r>
  <r>
    <s v="ORD200741"/>
    <d v="2025-01-23T00:00:00"/>
    <s v="C99683"/>
    <x v="0"/>
    <n v="5"/>
    <n v="332.64"/>
    <s v="945 Main St"/>
    <x v="3"/>
    <x v="3"/>
    <s v="TRK87305883"/>
    <n v="10"/>
    <m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m/>
    <x v="2"/>
    <n v="1010.13"/>
  </r>
  <r>
    <s v="ORD200756"/>
    <d v="2024-06-27T00:00:00"/>
    <s v="C14080"/>
    <x v="1"/>
    <n v="1"/>
    <n v="283.69"/>
    <s v="202 Main St"/>
    <x v="3"/>
    <x v="0"/>
    <s v="TRK93163682"/>
    <n v="6"/>
    <m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m/>
    <x v="4"/>
    <n v="39.56"/>
  </r>
  <r>
    <s v="ORD200761"/>
    <d v="2023-06-02T00:00:00"/>
    <s v="C37235"/>
    <x v="6"/>
    <n v="4"/>
    <n v="37.76"/>
    <s v="217 Main St"/>
    <x v="0"/>
    <x v="3"/>
    <s v="TRK67789367"/>
    <n v="7"/>
    <m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m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m/>
    <x v="2"/>
    <n v="2714.2"/>
  </r>
  <r>
    <s v="ORD200770"/>
    <d v="2024-02-11T00:00:00"/>
    <s v="C72166"/>
    <x v="6"/>
    <n v="1"/>
    <n v="314.38"/>
    <s v="227 Main St"/>
    <x v="1"/>
    <x v="2"/>
    <s v="TRK67733444"/>
    <n v="6"/>
    <m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m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m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m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m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m/>
    <x v="1"/>
    <n v="226.55"/>
  </r>
  <r>
    <s v="ORD200787"/>
    <d v="2024-03-17T00:00:00"/>
    <s v="C18167"/>
    <x v="6"/>
    <n v="4"/>
    <n v="221.96"/>
    <s v="193 Main St"/>
    <x v="4"/>
    <x v="3"/>
    <s v="TRK36841089"/>
    <n v="7"/>
    <m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m/>
    <x v="4"/>
    <n v="1671.56"/>
  </r>
  <r>
    <s v="ORD200791"/>
    <d v="2024-01-13T00:00:00"/>
    <s v="C49710"/>
    <x v="3"/>
    <n v="4"/>
    <n v="409.28"/>
    <s v="956 Main St"/>
    <x v="4"/>
    <x v="4"/>
    <s v="TRK92591237"/>
    <n v="8"/>
    <m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m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m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m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m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m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m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m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m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m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m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m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m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m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m/>
    <x v="0"/>
    <n v="773.52"/>
  </r>
  <r>
    <s v="ORD200858"/>
    <d v="2023-08-20T00:00:00"/>
    <s v="C22167"/>
    <x v="2"/>
    <n v="5"/>
    <n v="435.66"/>
    <s v="891 Main St"/>
    <x v="1"/>
    <x v="4"/>
    <s v="TRK70269748"/>
    <n v="9"/>
    <m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m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m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m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m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m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m/>
    <x v="4"/>
    <n v="460.13"/>
  </r>
  <r>
    <s v="ORD200887"/>
    <d v="2024-12-19T00:00:00"/>
    <s v="C67932"/>
    <x v="3"/>
    <n v="3"/>
    <n v="171.66"/>
    <s v="857 Main St"/>
    <x v="0"/>
    <x v="3"/>
    <s v="TRK88547534"/>
    <n v="7"/>
    <m/>
    <x v="4"/>
    <n v="514.98"/>
  </r>
  <r>
    <s v="ORD200888"/>
    <d v="2024-07-23T00:00:00"/>
    <s v="C14427"/>
    <x v="5"/>
    <n v="2"/>
    <n v="266.95"/>
    <s v="833 Main St"/>
    <x v="2"/>
    <x v="4"/>
    <s v="TRK58024529"/>
    <n v="3"/>
    <m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m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m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m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m/>
    <x v="3"/>
    <n v="721"/>
  </r>
  <r>
    <s v="ORD200903"/>
    <d v="2023-05-17T00:00:00"/>
    <s v="C80868"/>
    <x v="0"/>
    <n v="3"/>
    <n v="473.49"/>
    <s v="205 Main St"/>
    <x v="2"/>
    <x v="4"/>
    <s v="TRK56186636"/>
    <n v="7"/>
    <m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m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m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m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m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m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m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m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m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m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m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m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m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m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m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m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m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m/>
    <x v="4"/>
    <n v="956.72"/>
  </r>
  <r>
    <s v="ORD201012"/>
    <d v="2024-12-03T00:00:00"/>
    <s v="C84570"/>
    <x v="4"/>
    <n v="4"/>
    <n v="30.05"/>
    <s v="301 Main St"/>
    <x v="1"/>
    <x v="2"/>
    <s v="TRK12551882"/>
    <n v="6"/>
    <m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m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m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m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m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m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m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m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m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m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m/>
    <x v="0"/>
    <n v="1959.3"/>
  </r>
  <r>
    <s v="ORD201050"/>
    <d v="2023-08-20T00:00:00"/>
    <s v="C70659"/>
    <x v="5"/>
    <n v="5"/>
    <n v="69.7"/>
    <s v="722 Main St"/>
    <x v="1"/>
    <x v="2"/>
    <s v="TRK49663597"/>
    <n v="9"/>
    <m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m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m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m/>
    <x v="3"/>
    <n v="454.23"/>
  </r>
  <r>
    <s v="ORD201070"/>
    <d v="2024-09-06T00:00:00"/>
    <s v="C46873"/>
    <x v="6"/>
    <n v="4"/>
    <n v="491.29"/>
    <s v="496 Main St"/>
    <x v="0"/>
    <x v="4"/>
    <s v="TRK10926575"/>
    <n v="6"/>
    <m/>
    <x v="2"/>
    <n v="1965.16"/>
  </r>
  <r>
    <s v="ORD201071"/>
    <d v="2025-06-24T00:00:00"/>
    <s v="C94037"/>
    <x v="1"/>
    <n v="2"/>
    <n v="255.14"/>
    <s v="216 Main St"/>
    <x v="4"/>
    <x v="0"/>
    <s v="TRK47536985"/>
    <n v="2"/>
    <m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m/>
    <x v="3"/>
    <n v="1448.24"/>
  </r>
  <r>
    <s v="ORD201074"/>
    <d v="2024-05-10T00:00:00"/>
    <s v="C21437"/>
    <x v="1"/>
    <n v="1"/>
    <n v="222.73"/>
    <s v="120 Main St"/>
    <x v="1"/>
    <x v="2"/>
    <s v="TRK81624772"/>
    <n v="4"/>
    <m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m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m/>
    <x v="2"/>
    <n v="3170"/>
  </r>
  <r>
    <s v="ORD201080"/>
    <d v="2023-01-20T00:00:00"/>
    <s v="C70613"/>
    <x v="5"/>
    <n v="5"/>
    <n v="464.74"/>
    <s v="438 Main St"/>
    <x v="3"/>
    <x v="3"/>
    <s v="TRK33140293"/>
    <n v="7"/>
    <m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m/>
    <x v="0"/>
    <n v="1199.48"/>
  </r>
  <r>
    <s v="ORD201090"/>
    <d v="2023-02-25T00:00:00"/>
    <s v="C61225"/>
    <x v="0"/>
    <n v="2"/>
    <n v="650.25"/>
    <s v="996 Main St"/>
    <x v="3"/>
    <x v="2"/>
    <s v="TRK37022954"/>
    <n v="6"/>
    <m/>
    <x v="0"/>
    <n v="1300.5"/>
  </r>
  <r>
    <s v="ORD201091"/>
    <d v="2024-10-08T00:00:00"/>
    <s v="C16400"/>
    <x v="5"/>
    <n v="3"/>
    <n v="209.48"/>
    <s v="123 Main St"/>
    <x v="0"/>
    <x v="4"/>
    <s v="TRK57771859"/>
    <n v="4"/>
    <m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m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m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m/>
    <x v="0"/>
    <n v="1388.68"/>
  </r>
  <r>
    <s v="ORD201103"/>
    <d v="2023-04-24T00:00:00"/>
    <s v="C90292"/>
    <x v="5"/>
    <n v="4"/>
    <n v="276.32"/>
    <s v="129 Main St"/>
    <x v="1"/>
    <x v="3"/>
    <s v="TRK26270357"/>
    <n v="5"/>
    <m/>
    <x v="4"/>
    <n v="1105.28"/>
  </r>
  <r>
    <s v="ORD201104"/>
    <d v="2024-07-25T00:00:00"/>
    <s v="C17075"/>
    <x v="2"/>
    <n v="4"/>
    <n v="314.76"/>
    <s v="850 Main St"/>
    <x v="1"/>
    <x v="0"/>
    <s v="TRK63547510"/>
    <n v="8"/>
    <m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m/>
    <x v="4"/>
    <n v="839.96"/>
  </r>
  <r>
    <s v="ORD201114"/>
    <d v="2023-03-16T00:00:00"/>
    <s v="C55164"/>
    <x v="2"/>
    <n v="3"/>
    <n v="659.88"/>
    <s v="609 Main St"/>
    <x v="3"/>
    <x v="1"/>
    <s v="TRK79610967"/>
    <n v="3"/>
    <m/>
    <x v="4"/>
    <n v="1979.64"/>
  </r>
  <r>
    <s v="ORD201115"/>
    <d v="2025-06-20T00:00:00"/>
    <s v="C70426"/>
    <x v="5"/>
    <n v="2"/>
    <n v="336.32"/>
    <s v="562 Main St"/>
    <x v="1"/>
    <x v="2"/>
    <s v="TRK89687816"/>
    <n v="3"/>
    <m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m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m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m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m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m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m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m/>
    <x v="2"/>
    <n v="1495.98"/>
  </r>
  <r>
    <s v="ORD201142"/>
    <d v="2024-08-23T00:00:00"/>
    <s v="C23405"/>
    <x v="1"/>
    <n v="4"/>
    <n v="695.1"/>
    <s v="484 Main St"/>
    <x v="0"/>
    <x v="2"/>
    <s v="TRK83678708"/>
    <n v="8"/>
    <m/>
    <x v="2"/>
    <n v="2780.4"/>
  </r>
  <r>
    <s v="ORD201143"/>
    <d v="2023-04-03T00:00:00"/>
    <s v="C41132"/>
    <x v="3"/>
    <n v="1"/>
    <n v="381.61"/>
    <s v="114 Main St"/>
    <x v="0"/>
    <x v="4"/>
    <s v="TRK51040137"/>
    <n v="5"/>
    <m/>
    <x v="2"/>
    <n v="381.61"/>
  </r>
  <r>
    <s v="ORD201144"/>
    <d v="2023-02-16T00:00:00"/>
    <s v="C88463"/>
    <x v="6"/>
    <n v="5"/>
    <n v="507.94"/>
    <s v="292 Main St"/>
    <x v="1"/>
    <x v="1"/>
    <s v="TRK88749996"/>
    <n v="9"/>
    <m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m/>
    <x v="4"/>
    <n v="1216.08"/>
  </r>
  <r>
    <s v="ORD201152"/>
    <d v="2023-11-09T00:00:00"/>
    <s v="C25162"/>
    <x v="2"/>
    <n v="2"/>
    <n v="344.18"/>
    <s v="533 Main St"/>
    <x v="2"/>
    <x v="0"/>
    <s v="TRK42183078"/>
    <n v="7"/>
    <m/>
    <x v="1"/>
    <n v="688.36"/>
  </r>
  <r>
    <s v="ORD201153"/>
    <d v="2024-12-16T00:00:00"/>
    <s v="C98317"/>
    <x v="0"/>
    <n v="4"/>
    <n v="696.71"/>
    <s v="276 Main St"/>
    <x v="0"/>
    <x v="0"/>
    <s v="TRK37172138"/>
    <n v="4"/>
    <m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m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m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m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m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m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m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m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m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  <r>
    <m/>
    <m/>
    <m/>
    <x v="7"/>
    <m/>
    <m/>
    <m/>
    <x v="5"/>
    <x v="5"/>
    <m/>
    <m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18E2D-262E-48A6-9DEE-3A45CCB11D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4">
    <pivotField showAll="0"/>
    <pivotField showAll="0"/>
    <pivotField showAll="0"/>
    <pivotField axis="axisRow" showAll="0" sortType="descending">
      <items count="9">
        <item x="3"/>
        <item x="6"/>
        <item x="5"/>
        <item x="0"/>
        <item x="1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5"/>
    </i>
    <i>
      <x v="2"/>
    </i>
    <i>
      <x v="6"/>
    </i>
    <i>
      <x v="3"/>
    </i>
    <i>
      <x v="1"/>
    </i>
    <i>
      <x v="4"/>
    </i>
    <i>
      <x v="7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36BD0-F456-4052-9717-F40AE7782C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4">
    <pivotField showAll="0"/>
    <pivotField showAll="0"/>
    <pivotField showAll="0"/>
    <pivotField axis="axisRow" dataField="1" showAll="0" sortType="descending">
      <items count="9">
        <item x="3"/>
        <item x="6"/>
        <item x="5"/>
        <item x="0"/>
        <item x="1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 v="5"/>
    </i>
    <i>
      <x v="6"/>
    </i>
    <i>
      <x/>
    </i>
    <i>
      <x v="2"/>
    </i>
    <i>
      <x v="1"/>
    </i>
    <i>
      <x v="3"/>
    </i>
    <i>
      <x v="4"/>
    </i>
    <i>
      <x v="7"/>
    </i>
    <i t="grand">
      <x/>
    </i>
  </rowItems>
  <colItems count="1">
    <i/>
  </colItems>
  <dataFields count="1"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5CECE-359F-477A-BCE8-61D8369BA9D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4"/>
        <item x="2"/>
        <item x="0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 v="4"/>
    </i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Count of Payment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350B-5D1B-4031-AC08-2EEF7043DF7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1"/>
        <item x="3"/>
        <item x="4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3"/>
    </i>
    <i>
      <x v="2"/>
    </i>
    <i>
      <x v="4"/>
    </i>
    <i>
      <x v="1"/>
    </i>
    <i>
      <x v="5"/>
    </i>
    <i t="grand">
      <x/>
    </i>
  </rowItems>
  <colItems count="1">
    <i/>
  </colItems>
  <dataFields count="1">
    <dataField name="Count of Order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59933-709E-4790-9C3E-8740F2D2231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2"/>
        <item x="3"/>
        <item x="4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7">
    <i>
      <x v="3"/>
    </i>
    <i>
      <x/>
    </i>
    <i>
      <x v="2"/>
    </i>
    <i>
      <x v="1"/>
    </i>
    <i>
      <x v="4"/>
    </i>
    <i>
      <x v="5"/>
    </i>
    <i t="grand">
      <x/>
    </i>
  </rowItems>
  <colItems count="1">
    <i/>
  </colItems>
  <dataFields count="1">
    <dataField name="Count of ReferralSourc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42B7-9F78-42DF-9668-6F432D3095E6}">
  <dimension ref="A3:B12"/>
  <sheetViews>
    <sheetView workbookViewId="0">
      <selection activeCell="F13" sqref="F13"/>
    </sheetView>
  </sheetViews>
  <sheetFormatPr defaultRowHeight="15" x14ac:dyDescent="0.2"/>
  <cols>
    <col min="1" max="1" width="12.5078125" bestFit="1" customWidth="1"/>
    <col min="2" max="2" width="15.87109375" bestFit="1" customWidth="1"/>
  </cols>
  <sheetData>
    <row r="3" spans="1:2" x14ac:dyDescent="0.2">
      <c r="A3" s="6" t="s">
        <v>4291</v>
      </c>
      <c r="B3" t="s">
        <v>4295</v>
      </c>
    </row>
    <row r="4" spans="1:2" x14ac:dyDescent="0.2">
      <c r="A4" s="7" t="s">
        <v>2406</v>
      </c>
      <c r="B4" s="8">
        <v>195620.11000000002</v>
      </c>
    </row>
    <row r="5" spans="1:2" x14ac:dyDescent="0.2">
      <c r="A5" s="7" t="s">
        <v>2407</v>
      </c>
      <c r="B5" s="8">
        <v>195612.60999999996</v>
      </c>
    </row>
    <row r="6" spans="1:2" x14ac:dyDescent="0.2">
      <c r="A6" s="7" t="s">
        <v>2408</v>
      </c>
      <c r="B6" s="8">
        <v>192126.55999999994</v>
      </c>
    </row>
    <row r="7" spans="1:2" x14ac:dyDescent="0.2">
      <c r="A7" s="7" t="s">
        <v>2405</v>
      </c>
      <c r="B7" s="8">
        <v>186568.95000000007</v>
      </c>
    </row>
    <row r="8" spans="1:2" x14ac:dyDescent="0.2">
      <c r="A8" s="7" t="s">
        <v>2403</v>
      </c>
      <c r="B8" s="8">
        <v>175651.40999999997</v>
      </c>
    </row>
    <row r="9" spans="1:2" x14ac:dyDescent="0.2">
      <c r="A9" s="7" t="s">
        <v>2409</v>
      </c>
      <c r="B9" s="8">
        <v>167459.93</v>
      </c>
    </row>
    <row r="10" spans="1:2" x14ac:dyDescent="0.2">
      <c r="A10" s="7" t="s">
        <v>2404</v>
      </c>
      <c r="B10" s="8">
        <v>151722.39000000001</v>
      </c>
    </row>
    <row r="11" spans="1:2" x14ac:dyDescent="0.2">
      <c r="A11" s="7" t="s">
        <v>4292</v>
      </c>
      <c r="B11" s="8"/>
    </row>
    <row r="12" spans="1:2" x14ac:dyDescent="0.2">
      <c r="A12" s="7" t="s">
        <v>4293</v>
      </c>
      <c r="B12" s="8">
        <v>1264761.96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5DAC-EF9A-4253-92EF-8B139A942C7A}">
  <dimension ref="A3:B12"/>
  <sheetViews>
    <sheetView workbookViewId="0">
      <selection activeCell="L15" sqref="L15"/>
    </sheetView>
  </sheetViews>
  <sheetFormatPr defaultRowHeight="15" x14ac:dyDescent="0.2"/>
  <cols>
    <col min="1" max="1" width="12.5078125" bestFit="1" customWidth="1"/>
    <col min="2" max="2" width="15.6015625" bestFit="1" customWidth="1"/>
  </cols>
  <sheetData>
    <row r="3" spans="1:2" x14ac:dyDescent="0.2">
      <c r="A3" s="6" t="s">
        <v>4291</v>
      </c>
      <c r="B3" t="s">
        <v>4294</v>
      </c>
    </row>
    <row r="4" spans="1:2" x14ac:dyDescent="0.2">
      <c r="A4" s="7" t="s">
        <v>2407</v>
      </c>
      <c r="B4" s="8">
        <v>181</v>
      </c>
    </row>
    <row r="5" spans="1:2" x14ac:dyDescent="0.2">
      <c r="A5" s="7" t="s">
        <v>2405</v>
      </c>
      <c r="B5" s="8">
        <v>179</v>
      </c>
    </row>
    <row r="6" spans="1:2" x14ac:dyDescent="0.2">
      <c r="A6" s="7" t="s">
        <v>2406</v>
      </c>
      <c r="B6" s="8">
        <v>178</v>
      </c>
    </row>
    <row r="7" spans="1:2" x14ac:dyDescent="0.2">
      <c r="A7" s="7" t="s">
        <v>2408</v>
      </c>
      <c r="B7" s="8">
        <v>173</v>
      </c>
    </row>
    <row r="8" spans="1:2" x14ac:dyDescent="0.2">
      <c r="A8" s="7" t="s">
        <v>2409</v>
      </c>
      <c r="B8" s="8">
        <v>170</v>
      </c>
    </row>
    <row r="9" spans="1:2" x14ac:dyDescent="0.2">
      <c r="A9" s="7" t="s">
        <v>2403</v>
      </c>
      <c r="B9" s="8">
        <v>163</v>
      </c>
    </row>
    <row r="10" spans="1:2" x14ac:dyDescent="0.2">
      <c r="A10" s="7" t="s">
        <v>2404</v>
      </c>
      <c r="B10" s="8">
        <v>156</v>
      </c>
    </row>
    <row r="11" spans="1:2" x14ac:dyDescent="0.2">
      <c r="A11" s="7" t="s">
        <v>4292</v>
      </c>
      <c r="B11" s="8"/>
    </row>
    <row r="12" spans="1:2" x14ac:dyDescent="0.2">
      <c r="A12" s="7" t="s">
        <v>4293</v>
      </c>
      <c r="B12" s="8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53F2-F5A7-463C-B00F-CEBCF05385A7}">
  <dimension ref="A3:B10"/>
  <sheetViews>
    <sheetView workbookViewId="0">
      <selection activeCell="D12" sqref="D12"/>
    </sheetView>
  </sheetViews>
  <sheetFormatPr defaultRowHeight="15" x14ac:dyDescent="0.2"/>
  <cols>
    <col min="1" max="1" width="12.5078125" bestFit="1" customWidth="1"/>
    <col min="2" max="2" width="23.40625" bestFit="1" customWidth="1"/>
  </cols>
  <sheetData>
    <row r="3" spans="1:2" x14ac:dyDescent="0.2">
      <c r="A3" s="6" t="s">
        <v>4291</v>
      </c>
      <c r="B3" t="s">
        <v>4296</v>
      </c>
    </row>
    <row r="4" spans="1:2" x14ac:dyDescent="0.2">
      <c r="A4" s="7" t="s">
        <v>3066</v>
      </c>
      <c r="B4" s="8">
        <v>258</v>
      </c>
    </row>
    <row r="5" spans="1:2" x14ac:dyDescent="0.2">
      <c r="A5" s="7" t="s">
        <v>3069</v>
      </c>
      <c r="B5" s="8">
        <v>246</v>
      </c>
    </row>
    <row r="6" spans="1:2" x14ac:dyDescent="0.2">
      <c r="A6" s="7" t="s">
        <v>3067</v>
      </c>
      <c r="B6" s="8">
        <v>234</v>
      </c>
    </row>
    <row r="7" spans="1:2" x14ac:dyDescent="0.2">
      <c r="A7" s="7" t="s">
        <v>3065</v>
      </c>
      <c r="B7" s="8">
        <v>232</v>
      </c>
    </row>
    <row r="8" spans="1:2" x14ac:dyDescent="0.2">
      <c r="A8" s="7" t="s">
        <v>3068</v>
      </c>
      <c r="B8" s="8">
        <v>230</v>
      </c>
    </row>
    <row r="9" spans="1:2" x14ac:dyDescent="0.2">
      <c r="A9" s="7" t="s">
        <v>4292</v>
      </c>
      <c r="B9" s="8"/>
    </row>
    <row r="10" spans="1:2" x14ac:dyDescent="0.2">
      <c r="A10" s="7" t="s">
        <v>4293</v>
      </c>
      <c r="B10" s="8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59D8-7002-4A0D-BB53-3C998C4E305F}">
  <dimension ref="A3:B10"/>
  <sheetViews>
    <sheetView workbookViewId="0">
      <selection activeCell="G19" sqref="G19"/>
    </sheetView>
  </sheetViews>
  <sheetFormatPr defaultRowHeight="15" x14ac:dyDescent="0.2"/>
  <cols>
    <col min="1" max="1" width="12.5078125" bestFit="1" customWidth="1"/>
    <col min="2" max="2" width="18.96484375" bestFit="1" customWidth="1"/>
  </cols>
  <sheetData>
    <row r="3" spans="1:2" x14ac:dyDescent="0.2">
      <c r="A3" s="6" t="s">
        <v>4291</v>
      </c>
      <c r="B3" t="s">
        <v>4297</v>
      </c>
    </row>
    <row r="4" spans="1:2" x14ac:dyDescent="0.2">
      <c r="A4" s="7" t="s">
        <v>3071</v>
      </c>
      <c r="B4" s="8">
        <v>250</v>
      </c>
    </row>
    <row r="5" spans="1:2" x14ac:dyDescent="0.2">
      <c r="A5" s="7" t="s">
        <v>3072</v>
      </c>
      <c r="B5" s="8">
        <v>247</v>
      </c>
    </row>
    <row r="6" spans="1:2" x14ac:dyDescent="0.2">
      <c r="A6" s="7" t="s">
        <v>3074</v>
      </c>
      <c r="B6" s="8">
        <v>237</v>
      </c>
    </row>
    <row r="7" spans="1:2" x14ac:dyDescent="0.2">
      <c r="A7" s="7" t="s">
        <v>3070</v>
      </c>
      <c r="B7" s="8">
        <v>235</v>
      </c>
    </row>
    <row r="8" spans="1:2" x14ac:dyDescent="0.2">
      <c r="A8" s="7" t="s">
        <v>3073</v>
      </c>
      <c r="B8" s="8">
        <v>231</v>
      </c>
    </row>
    <row r="9" spans="1:2" x14ac:dyDescent="0.2">
      <c r="A9" s="7" t="s">
        <v>4292</v>
      </c>
      <c r="B9" s="8"/>
    </row>
    <row r="10" spans="1:2" x14ac:dyDescent="0.2">
      <c r="A10" s="7" t="s">
        <v>4293</v>
      </c>
      <c r="B10" s="8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F492-70EC-4784-B458-D86657471D35}">
  <dimension ref="A3:B10"/>
  <sheetViews>
    <sheetView tabSelected="1" workbookViewId="0">
      <selection activeCell="K23" sqref="K23"/>
    </sheetView>
  </sheetViews>
  <sheetFormatPr defaultRowHeight="15" x14ac:dyDescent="0.2"/>
  <cols>
    <col min="1" max="1" width="12.5078125" bestFit="1" customWidth="1"/>
    <col min="2" max="2" width="21.38671875" bestFit="1" customWidth="1"/>
  </cols>
  <sheetData>
    <row r="3" spans="1:2" x14ac:dyDescent="0.2">
      <c r="A3" s="6" t="s">
        <v>4291</v>
      </c>
      <c r="B3" t="s">
        <v>4298</v>
      </c>
    </row>
    <row r="4" spans="1:2" x14ac:dyDescent="0.2">
      <c r="A4" s="7" t="s">
        <v>4278</v>
      </c>
      <c r="B4" s="8">
        <v>259</v>
      </c>
    </row>
    <row r="5" spans="1:2" x14ac:dyDescent="0.2">
      <c r="A5" s="7" t="s">
        <v>4280</v>
      </c>
      <c r="B5" s="8">
        <v>250</v>
      </c>
    </row>
    <row r="6" spans="1:2" x14ac:dyDescent="0.2">
      <c r="A6" s="7" t="s">
        <v>4282</v>
      </c>
      <c r="B6" s="8">
        <v>241</v>
      </c>
    </row>
    <row r="7" spans="1:2" x14ac:dyDescent="0.2">
      <c r="A7" s="7" t="s">
        <v>4281</v>
      </c>
      <c r="B7" s="8">
        <v>228</v>
      </c>
    </row>
    <row r="8" spans="1:2" x14ac:dyDescent="0.2">
      <c r="A8" s="7" t="s">
        <v>4279</v>
      </c>
      <c r="B8" s="8">
        <v>222</v>
      </c>
    </row>
    <row r="9" spans="1:2" x14ac:dyDescent="0.2">
      <c r="A9" s="7" t="s">
        <v>4292</v>
      </c>
      <c r="B9" s="8"/>
    </row>
    <row r="10" spans="1:2" x14ac:dyDescent="0.2">
      <c r="A10" s="7" t="s">
        <v>4293</v>
      </c>
      <c r="B10" s="8">
        <v>1200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98" workbookViewId="0">
      <selection activeCell="T22" sqref="T22"/>
    </sheetView>
  </sheetViews>
  <sheetFormatPr defaultRowHeight="15" x14ac:dyDescent="0.2"/>
  <cols>
    <col min="1" max="1" width="10.76171875" customWidth="1"/>
    <col min="2" max="2" width="10.35546875" bestFit="1" customWidth="1"/>
    <col min="3" max="3" width="10.76171875" customWidth="1"/>
    <col min="5" max="6" width="9.01171875" bestFit="1" customWidth="1"/>
    <col min="7" max="8" width="15.73828125" customWidth="1"/>
    <col min="9" max="9" width="12.77734375" customWidth="1"/>
    <col min="10" max="10" width="14.796875" customWidth="1"/>
    <col min="11" max="11" width="11.8359375" customWidth="1"/>
    <col min="12" max="12" width="12.77734375" customWidth="1"/>
    <col min="13" max="13" width="13.71875" customWidth="1"/>
    <col min="14" max="14" width="9.0117187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65BC-B199-4229-9B52-279666021DA7}">
  <dimension ref="A1:D6"/>
  <sheetViews>
    <sheetView workbookViewId="0">
      <selection activeCell="G10" sqref="G10"/>
    </sheetView>
  </sheetViews>
  <sheetFormatPr defaultRowHeight="15" x14ac:dyDescent="0.2"/>
  <cols>
    <col min="3" max="3" width="9.55078125" bestFit="1" customWidth="1"/>
    <col min="4" max="4" width="9.81640625" customWidth="1"/>
  </cols>
  <sheetData>
    <row r="1" spans="1:4" x14ac:dyDescent="0.2">
      <c r="A1" s="3" t="s">
        <v>4283</v>
      </c>
      <c r="B1" s="3" t="s">
        <v>4</v>
      </c>
      <c r="C1" s="3" t="s">
        <v>4289</v>
      </c>
      <c r="D1" s="3" t="s">
        <v>4290</v>
      </c>
    </row>
    <row r="2" spans="1:4" x14ac:dyDescent="0.2">
      <c r="A2" t="s">
        <v>4284</v>
      </c>
      <c r="B2">
        <f>COUNT(Sheet1!E:E)</f>
        <v>1200</v>
      </c>
      <c r="C2" s="4">
        <f>COUNT(Sheet1!F:F)</f>
        <v>1200</v>
      </c>
      <c r="D2">
        <f>COUNT(Sheet1!N:N)</f>
        <v>1200</v>
      </c>
    </row>
    <row r="3" spans="1:4" x14ac:dyDescent="0.2">
      <c r="A3" t="s">
        <v>4285</v>
      </c>
      <c r="B3">
        <f>AVERAGE(Sheet1!E:E)</f>
        <v>2.9458333333333333</v>
      </c>
      <c r="C3" s="4">
        <f>AVERAGE(Sheet1!F:F)</f>
        <v>356.41275000000007</v>
      </c>
      <c r="D3">
        <f>AVERAGE(Sheet1!N:N)</f>
        <v>1053.9683000000005</v>
      </c>
    </row>
    <row r="4" spans="1:4" x14ac:dyDescent="0.2">
      <c r="A4" t="s">
        <v>4286</v>
      </c>
      <c r="B4">
        <f>MEDIAN(Sheet1!E:E)</f>
        <v>3</v>
      </c>
      <c r="C4" s="5">
        <f>MEDIAN(Sheet1!F:F)</f>
        <v>364.21</v>
      </c>
      <c r="D4">
        <f>MEDIAN(Sheet1!N:N)</f>
        <v>823.61500000000001</v>
      </c>
    </row>
    <row r="5" spans="1:4" x14ac:dyDescent="0.2">
      <c r="A5" t="s">
        <v>4287</v>
      </c>
      <c r="B5">
        <f>MIN(Sheet1!E:E)</f>
        <v>1</v>
      </c>
      <c r="C5">
        <f>MIN(Sheet1!F:F)</f>
        <v>11.39</v>
      </c>
      <c r="D5">
        <f>MIN(Sheet1!N:N)</f>
        <v>11.39</v>
      </c>
    </row>
    <row r="6" spans="1:4" x14ac:dyDescent="0.2">
      <c r="A6" t="s">
        <v>4288</v>
      </c>
      <c r="B6">
        <f>MAX(Sheet1!E:E)</f>
        <v>5</v>
      </c>
      <c r="C6">
        <f>MAX(Sheet1!F:F)</f>
        <v>699.93</v>
      </c>
      <c r="D6">
        <f>MAX(Sheet1!N:N)</f>
        <v>3456.4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 Analysis</vt:lpstr>
      <vt:lpstr>Product Analysis</vt:lpstr>
      <vt:lpstr>Payment Method Analysis</vt:lpstr>
      <vt:lpstr>Order Status Analysis</vt:lpstr>
      <vt:lpstr>Referral Source Analysis</vt:lpstr>
      <vt:lpstr>Sheet1</vt:lpstr>
      <vt:lpstr>EDA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Muthuvel R S</cp:lastModifiedBy>
  <dcterms:created xsi:type="dcterms:W3CDTF">2025-06-21T13:19:12Z</dcterms:created>
  <dcterms:modified xsi:type="dcterms:W3CDTF">2026-06-05T08:27:59Z</dcterms:modified>
</cp:coreProperties>
</file>